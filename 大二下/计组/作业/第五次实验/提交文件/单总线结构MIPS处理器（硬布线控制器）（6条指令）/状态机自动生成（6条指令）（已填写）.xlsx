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0e56cb87c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状态转换表" sheetId="1" r:id="R251c1ece646345df"/>
    <x:sheet xmlns:r="http://schemas.openxmlformats.org/officeDocument/2006/relationships" name="触发器输入函数自动生成" sheetId="2" r:id="R9f7c61e619a34903"/>
    <x:sheet xmlns:r="http://schemas.openxmlformats.org/officeDocument/2006/relationships" name="Sheet1" sheetId="3" r:id="R1a7c375556e84fe3"/>
    <x:sheet xmlns:r="http://schemas.openxmlformats.org/officeDocument/2006/relationships" name="输出函数真值表" sheetId="4" r:id="R0329121a2eb74301"/>
    <x:sheet xmlns:r="http://schemas.openxmlformats.org/officeDocument/2006/relationships" name="输出函数自动生成" sheetId="5" r:id="R403b218f7814410f"/>
  </x:sheets>
</x:workbook>
</file>

<file path=xl/sharedStrings.xml><?xml version="1.0" encoding="utf-8"?>
<x:sst xmlns:x="http://schemas.openxmlformats.org/spreadsheetml/2006/main">
  <x:si>
    <x:t xml:space="preserve">当前状态(现态)</x:t>
  </x:si>
  <x:si>
    <x:t xml:space="preserve">输入信号</x:t>
  </x:si>
  <x:si>
    <x:t xml:space="preserve">下一状态（次态）</x:t>
  </x:si>
  <x:si>
    <x:t xml:space="preserve">S3</x:t>
  </x:si>
  <x:si>
    <x:t xml:space="preserve">S2</x:t>
  </x:si>
  <x:si>
    <x:t xml:space="preserve">S1</x:t>
  </x:si>
  <x:si>
    <x:t xml:space="preserve">S0</x:t>
  </x:si>
  <x:si>
    <x:t xml:space="preserve">现态
10进制</x:t>
  </x:si>
  <x:si>
    <x:t xml:space="preserve">LW</x:t>
  </x:si>
  <x:si>
    <x:t xml:space="preserve">SW</x:t>
  </x:si>
  <x:si>
    <x:t xml:space="preserve">BEQ</x:t>
  </x:si>
  <x:si>
    <x:t xml:space="preserve">SLT</x:t>
  </x:si>
  <x:si>
    <x:t xml:space="preserve">ADDI</x:t>
  </x:si>
  <x:si>
    <x:t xml:space="preserve">ADD</x:t>
  </x:si>
  <x:si>
    <x:t xml:space="preserve">次态
10进制</x:t>
  </x:si>
  <x:si>
    <x:t xml:space="preserve">N3</x:t>
  </x:si>
  <x:si>
    <x:t xml:space="preserve">N2</x:t>
  </x:si>
  <x:si>
    <x:t xml:space="preserve">N1</x:t>
  </x:si>
  <x:si>
    <x:t xml:space="preserve">N0</x:t>
  </x:si>
  <x:si>
    <x:t xml:space="preserve">最小项表达式</x:t>
  </x:si>
  <x:si>
    <x:t xml:space="preserve">输出</x:t>
  </x:si>
  <x:si>
    <x:t xml:space="preserve">Mif</x:t>
  </x:si>
  <x:si>
    <x:t xml:space="preserve">Mcal</x:t>
  </x:si>
  <x:si>
    <x:t xml:space="preserve">Mex</x:t>
  </x:si>
  <x:si>
    <x:t xml:space="preserve">Mint</x:t>
  </x:si>
  <x:si>
    <x:t xml:space="preserve">T1</x:t>
  </x:si>
  <x:si>
    <x:t xml:space="preserve">T2</x:t>
  </x:si>
  <x:si>
    <x:t xml:space="preserve">T3</x:t>
  </x:si>
  <x:si>
    <x:t xml:space="preserve">T4</x:t>
  </x:si>
  <x:si>
    <x:t xml:space="preserve">Out9</x:t>
  </x:si>
  <x:si>
    <x:t xml:space="preserve">Out10</x:t>
  </x:si>
  <x:si>
    <x:t xml:space="preserve">Out11</x:t>
  </x:si>
  <x:si>
    <x:t xml:space="preserve">Out12</x:t>
  </x:si>
  <x:si>
    <x:t xml:space="preserve">逻辑表达式-&gt;&gt;&gt;</x:t>
  </x:si>
  <x:si>
    <x:t xml:space="preserve">这里是输出信号的最终的表达式，复制到Logisim中即可</x:t>
  </x:si>
  <x:si>
    <x:t xml:space="preserve">此表一般不需要修改，如需修改，在审阅中撤销工作表保护</x:t>
  </x:si>
</x:sst>
</file>

<file path=xl/styles.xml><?xml version="1.0" encoding="utf-8"?>
<x:styleSheet xmlns:x="http://schemas.openxmlformats.org/spreadsheetml/2006/main">
  <x:numFmts count="1">
    <x:numFmt numFmtId="176" formatCode="yyyy&quot;年&quot;m&quot;月&quot;d&quot;日&quot;;@"/>
  </x:numFmts>
  <x:fonts count="18">
    <x:font>
      <x:sz val="11"/>
      <x:color theme="1"/>
      <x:name val="等线"/>
    </x:font>
    <x:font>
      <x:b/>
      <x:sz val="11"/>
      <x:color theme="1"/>
      <x:name val="宋体"/>
    </x:font>
    <x:font>
      <x:b/>
      <x:sz val="12"/>
      <x:color theme="1"/>
      <x:name val="宋体"/>
    </x:font>
    <x:font>
      <x:sz val="11"/>
      <x:color theme="1"/>
      <x:name val="宋体"/>
    </x:font>
    <x:font>
      <x:b/>
      <x:sz val="11"/>
      <x:color rgb="FF0070C0"/>
      <x:name val="微软雅黑"/>
    </x:font>
    <x:font>
      <x:b/>
      <x:sz val="11"/>
      <x:color theme="1"/>
      <x:name val="微软雅黑"/>
    </x:font>
    <x:font>
      <x:b/>
      <x:sz val="11"/>
      <x:color rgb="FF0000FF"/>
      <x:name val="微软雅黑"/>
    </x:font>
    <x:font>
      <x:b/>
      <x:sz val="11"/>
      <x:color theme="1"/>
      <x:name val="仿宋"/>
    </x:font>
    <x:font>
      <x:b/>
      <x:sz val="11"/>
      <x:color rgb="FF0000FF"/>
      <x:name val="仿宋"/>
    </x:font>
    <x:font>
      <x:sz val="11"/>
      <x:color theme="1" tint="0.34999"/>
      <x:name val="仿宋"/>
    </x:font>
    <x:font>
      <x:b/>
      <x:sz val="11"/>
      <x:color rgb="FFFF0000"/>
      <x:name val="微软雅黑"/>
    </x:font>
    <x:font>
      <x:sz val="12"/>
      <x:color theme="1"/>
      <x:name val="等线"/>
    </x:font>
    <x:font>
      <x:sz val="11"/>
      <x:color theme="1"/>
      <x:name val="等线"/>
    </x:font>
    <x:font>
      <x:sz val="9"/>
      <x:name val="等线"/>
    </x:font>
    <x:font>
      <x:b/>
      <x:sz val="11"/>
      <x:color rgb="FFFF0000"/>
      <x:name val="等线"/>
    </x:font>
    <x:font>
      <x:b/>
      <x:sz val="11"/>
      <x:color rgb="FFFF0000"/>
      <x:name val="微软雅黑"/>
    </x:font>
    <x:font>
      <x:b/>
      <x:sz val="11"/>
      <x:color theme="1"/>
      <x:name val="微软雅黑"/>
    </x:font>
    <x:font>
      <x:b/>
      <x:sz val="11"/>
      <x:color theme="1" tint="0.34999"/>
      <x:name val="仿宋"/>
    </x:font>
  </x:fonts>
  <x:fills count="12">
    <x:fill>
      <x:patternFill patternType="none"/>
    </x:fill>
    <x:fill>
      <x:patternFill patternType="gray125"/>
    </x:fill>
    <x:fill>
      <x:patternFill patternType="solid">
        <x:fgColor theme="9" tint="0.39988"/>
      </x:patternFill>
    </x:fill>
    <x:fill>
      <x:patternFill patternType="solid">
        <x:fgColor theme="9" tint="0.39995"/>
      </x:patternFill>
    </x:fill>
    <x:fill>
      <x:patternFill patternType="solid">
        <x:fgColor theme="7" tint="0.59999"/>
      </x:patternFill>
    </x:fill>
    <x:fill>
      <x:patternFill patternType="solid">
        <x:fgColor theme="7" tint="0.79989"/>
      </x:patternFill>
    </x:fill>
    <x:fill>
      <x:patternFill patternType="solid">
        <x:fgColor rgb="FF00B0F0"/>
      </x:patternFill>
    </x:fill>
    <x:fill>
      <x:patternFill patternType="solid">
        <x:fgColor theme="7"/>
      </x:patternFill>
    </x:fill>
    <x:fill>
      <x:patternFill patternType="solid">
        <x:fgColor theme="0" tint="-0.14997"/>
      </x:patternFill>
    </x:fill>
    <x:fill>
      <x:patternFill patternType="solid">
        <x:fgColor theme="0" tint="-0.14991"/>
      </x:patternFill>
    </x:fill>
    <x:fill>
      <x:patternFill patternType="solid">
        <x:fgColor theme="7" tint="0.39995"/>
      </x:patternFill>
    </x:fill>
    <x:fill>
      <x:patternFill patternType="solid">
        <x:fgColor theme="7" tint="0.39988"/>
      </x:patternFill>
    </x:fill>
  </x:fills>
  <x:borders count="34">
    <x:border/>
    <x:border>
      <x:left style="thin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  <x:bottom style="thick">
        <x:color auto="1"/>
      </x:bottom>
    </x:border>
    <x:border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ck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ck">
        <x:color auto="1"/>
      </x:right>
      <x:top style="thin">
        <x:color auto="1"/>
      </x:top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left style="thick">
        <x:color auto="1"/>
      </x:left>
      <x:right style="thick">
        <x:color auto="1"/>
      </x:right>
      <x:top style="thin">
        <x:color auto="1"/>
      </x:top>
      <x:bottom style="thick">
        <x:color auto="1"/>
      </x:bottom>
    </x:border>
    <x:border>
      <x:left style="thick">
        <x:color auto="1"/>
      </x:left>
      <x:right style="thick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ck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bottom style="thin">
        <x:color auto="1"/>
      </x:bottom>
    </x:border>
    <x:border>
      <x:left style="thick">
        <x:color auto="1"/>
      </x:left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ck">
        <x:color auto="1"/>
      </x:left>
      <x:right style="thin">
        <x:color auto="1"/>
      </x:right>
      <x:top style="thick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ck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  <x:right style="thick">
        <x:color auto="1"/>
      </x:right>
      <x:top style="thick">
        <x:color auto="1"/>
      </x:top>
      <x:bottom style="thin">
        <x:color auto="1"/>
      </x:bottom>
    </x:border>
    <x:border>
      <x:left style="thick">
        <x:color auto="1"/>
      </x:left>
      <x:right style="thick">
        <x:color auto="1"/>
      </x:right>
      <x:top style="thin">
        <x:color auto="1"/>
      </x:top>
      <x:bottom style="thin">
        <x:color auto="1"/>
      </x:bottom>
    </x:border>
    <x:border>
      <x:right style="thick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</x:border>
  </x:borders>
  <x:cellStyleXfs count="1">
    <x:xf numFmtId="0" fontId="0" fillId="0" borderId="0">
      <x:alignment vertical="center"/>
    </x:xf>
  </x:cellStyleXfs>
  <x:cellXfs count="95"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8" xfId="0" applyFont="1" applyBorder="1" applyAlignment="1">
      <x:alignment horizontal="center" vertical="center"/>
    </x:xf>
    <x:xf numFmtId="0" fontId="3" fillId="0" borderId="9" xfId="0" applyFont="1" applyBorder="1" applyAlignment="1">
      <x:alignment horizontal="center" vertical="center"/>
    </x:xf>
    <x:xf numFmtId="0" fontId="3" fillId="0" borderId="10" xfId="0" applyFont="1" applyBorder="1" applyAlignment="1">
      <x:alignment horizontal="center" vertical="center"/>
    </x:xf>
    <x:xf numFmtId="0" fontId="3" fillId="0" borderId="0" xfId="0" applyFont="1">
      <x:alignment vertical="center"/>
    </x:xf>
    <x:xf numFmtId="0" fontId="3" fillId="0" borderId="0" xfId="0" applyFont="1" applyAlignment="1">
      <x:alignment vertical="center"/>
    </x:xf>
    <x:xf numFmtId="0" fontId="5" fillId="0" borderId="0" xfId="0" applyFont="1">
      <x:alignment vertical="center"/>
    </x:xf>
    <x:xf numFmtId="0" fontId="1" fillId="3" borderId="13" xfId="0" applyFont="1" applyFill="1" applyBorder="1" applyAlignment="1">
      <x:alignment horizontal="center" vertical="center"/>
    </x:xf>
    <x:xf numFmtId="0" fontId="1" fillId="4" borderId="3" xfId="0" applyFont="1" applyFill="1" applyBorder="1" applyAlignment="1">
      <x:alignment horizontal="center" vertical="center"/>
    </x:xf>
    <x:xf numFmtId="176" fontId="3" fillId="0" borderId="14" xfId="0" applyNumberFormat="1" applyFont="1" applyBorder="1" applyAlignment="1">
      <x:alignment vertical="center"/>
    </x:xf>
    <x:xf numFmtId="176" fontId="3" fillId="5" borderId="6" xfId="0" applyNumberFormat="1" applyFont="1" applyFill="1" applyBorder="1" applyAlignment="1">
      <x:alignment horizontal="center" vertical="center"/>
    </x:xf>
    <x:xf numFmtId="176" fontId="3" fillId="5" borderId="15" xfId="0" applyNumberFormat="1" applyFont="1" applyFill="1" applyBorder="1" applyAlignment="1">
      <x:alignment horizontal="center" vertical="center"/>
    </x:xf>
    <x:xf numFmtId="176" fontId="3" fillId="5" borderId="16" xfId="0" applyNumberFormat="1" applyFont="1" applyFill="1" applyBorder="1" applyAlignment="1">
      <x:alignment horizontal="center" vertical="center"/>
    </x:xf>
    <x:xf numFmtId="176" fontId="1" fillId="6" borderId="18" xfId="0" applyNumberFormat="1" applyFont="1" applyFill="1" applyBorder="1" applyAlignment="1">
      <x:alignment horizontal="center" vertical="center"/>
    </x:xf>
    <x:xf numFmtId="176" fontId="1" fillId="6" borderId="19" xfId="0" applyNumberFormat="1" applyFont="1" applyFill="1" applyBorder="1" applyAlignment="1">
      <x:alignment horizontal="center" vertical="center"/>
    </x:xf>
    <x:xf numFmtId="176" fontId="1" fillId="7" borderId="0" xfId="0" applyNumberFormat="1" applyFont="1" applyFill="1" applyAlignment="1">
      <x:alignment vertical="center" wrapText="1"/>
    </x:xf>
    <x:xf numFmtId="176" fontId="1" fillId="6" borderId="17" xfId="0" applyNumberFormat="1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7" fillId="2" borderId="1" xfId="0" applyFont="1" applyFill="1" applyBorder="1" applyAlignment="1">
      <x:alignment horizontal="center" vertical="center"/>
    </x:xf>
    <x:xf numFmtId="0" fontId="7" fillId="2" borderId="22" xfId="0" applyFont="1" applyFill="1" applyBorder="1" applyAlignment="1">
      <x:alignment horizontal="center" vertical="center" wrapText="1"/>
    </x:xf>
    <x:xf numFmtId="0" fontId="9" fillId="0" borderId="7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center" vertical="center"/>
    </x:xf>
    <x:xf numFmtId="0" fontId="5" fillId="0" borderId="25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9" fillId="8" borderId="7" xfId="0" applyFont="1" applyFill="1" applyBorder="1" applyAlignment="1">
      <x:alignment horizontal="center" vertical="center"/>
    </x:xf>
    <x:xf numFmtId="0" fontId="10" fillId="9" borderId="20" xfId="0" applyFont="1" applyFill="1" applyBorder="1" applyAlignment="1">
      <x:alignment horizontal="center" vertical="center"/>
    </x:xf>
    <x:xf numFmtId="0" fontId="5" fillId="8" borderId="21" xfId="0" applyFont="1" applyFill="1" applyBorder="1" applyAlignment="1">
      <x:alignment horizontal="center" vertical="center"/>
    </x:xf>
    <x:xf numFmtId="0" fontId="5" fillId="8" borderId="7" xfId="0" applyFont="1" applyFill="1" applyBorder="1" applyAlignment="1">
      <x:alignment horizontal="center" vertical="center"/>
    </x:xf>
    <x:xf numFmtId="0" fontId="7" fillId="11" borderId="23" xfId="0" applyFont="1" applyFill="1" applyBorder="1" applyAlignment="1">
      <x:alignment horizontal="center" vertical="center"/>
    </x:xf>
    <x:xf numFmtId="0" fontId="7" fillId="11" borderId="1" xfId="0" applyFont="1" applyFill="1" applyBorder="1" applyAlignment="1">
      <x:alignment horizontal="center" vertical="center"/>
    </x:xf>
    <x:xf numFmtId="0" fontId="5" fillId="8" borderId="20" xfId="0" applyFont="1" applyFill="1" applyBorder="1" applyAlignment="1">
      <x:alignment horizontal="center" vertical="center"/>
    </x:xf>
    <x:xf numFmtId="0" fontId="5" fillId="0" borderId="21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11" fillId="0" borderId="0" xfId="0" applyFont="1">
      <x:alignment vertical="center"/>
    </x:xf>
    <x:xf numFmtId="176" fontId="0" fillId="0" borderId="0" xfId="0" applyNumberFormat="1" applyAlignment="1">
      <x:alignment vertical="center"/>
    </x:xf>
    <x:xf numFmtId="0" fontId="2" fillId="2" borderId="1" xfId="0" applyFont="1" applyFill="1" applyBorder="1" applyAlignment="1">
      <x:alignment horizontal="center" vertical="center"/>
    </x:xf>
    <x:xf numFmtId="0" fontId="2" fillId="2" borderId="22" xfId="0" applyFont="1" applyFill="1" applyBorder="1" applyAlignment="1">
      <x:alignment horizontal="center" vertical="center"/>
    </x:xf>
    <x:xf numFmtId="0" fontId="2" fillId="2" borderId="23" xfId="0" applyFont="1" applyFill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24" xfId="0" applyFont="1" applyBorder="1" applyAlignment="1">
      <x:alignment horizontal="center" vertical="center"/>
    </x:xf>
    <x:xf numFmtId="0" fontId="3" fillId="0" borderId="27" xfId="0" applyFont="1" applyBorder="1" applyAlignment="1">
      <x:alignment horizontal="center" vertical="center"/>
    </x:xf>
    <x:xf numFmtId="0" fontId="3" fillId="0" borderId="28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20" xfId="0" applyFont="1" applyBorder="1" applyAlignment="1">
      <x:alignment horizontal="center" vertical="center"/>
    </x:xf>
    <x:xf numFmtId="0" fontId="3" fillId="0" borderId="21" xfId="0" applyFont="1" applyBorder="1" applyAlignment="1">
      <x:alignment horizontal="center" vertical="center"/>
    </x:xf>
    <x:xf numFmtId="0" fontId="3" fillId="0" borderId="9" xfId="0" applyFont="1" applyBorder="1" applyAlignment="1">
      <x:alignment horizontal="center" vertical="center"/>
    </x:xf>
    <x:xf numFmtId="0" fontId="3" fillId="0" borderId="29" xfId="0" applyFont="1" applyBorder="1" applyAlignment="1">
      <x:alignment horizontal="center" vertical="center"/>
    </x:xf>
    <x:xf numFmtId="0" fontId="3" fillId="7" borderId="0" xfId="0" applyFont="1" applyFill="1">
      <x:alignment vertical="center"/>
    </x:xf>
    <x:xf numFmtId="0" fontId="2" fillId="2" borderId="2" xfId="0" applyFont="1" applyFill="1" applyBorder="1" applyAlignment="1">
      <x:alignment horizontal="center" vertical="center"/>
    </x:xf>
    <x:xf numFmtId="176" fontId="2" fillId="2" borderId="13" xfId="0" applyNumberFormat="1" applyFont="1" applyFill="1" applyBorder="1" applyAlignment="1">
      <x:alignment horizontal="center" vertical="center"/>
    </x:xf>
    <x:xf numFmtId="176" fontId="2" fillId="4" borderId="3" xfId="0" applyNumberFormat="1" applyFont="1" applyFill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176" fontId="3" fillId="0" borderId="31" xfId="0" applyNumberFormat="1" applyFont="1" applyBorder="1" applyAlignment="1">
      <x:alignment vertical="center"/>
    </x:xf>
    <x:xf numFmtId="0" fontId="3" fillId="0" borderId="8" xfId="0" applyFont="1" applyBorder="1" applyAlignment="1">
      <x:alignment horizontal="center" vertical="center"/>
    </x:xf>
    <x:xf numFmtId="176" fontId="3" fillId="7" borderId="0" xfId="0" applyNumberFormat="1" applyFont="1" applyFill="1" applyAlignment="1">
      <x:alignment vertical="center"/>
    </x:xf>
    <x:xf numFmtId="176" fontId="12" fillId="0" borderId="0" xfId="0" applyNumberFormat="1" applyFont="1" applyAlignment="1">
      <x:alignment vertical="center"/>
    </x:xf>
    <x:xf numFmtId="0" fontId="10" fillId="9" borderId="21" xfId="0" applyFont="1" applyFill="1" applyBorder="1" applyAlignment="1">
      <x:alignment horizontal="center" vertical="center"/>
    </x:xf>
    <x:xf numFmtId="0" fontId="5" fillId="0" borderId="20" xfId="0" applyFont="1" applyBorder="1" applyAlignment="1">
      <x:alignment horizontal="center" vertical="center"/>
    </x:xf>
    <x:xf numFmtId="0" fontId="16" fillId="0" borderId="0" xfId="0" applyFont="1">
      <x:alignment vertical="center"/>
    </x:xf>
    <x:xf numFmtId="0" fontId="7" fillId="2" borderId="9" xfId="0" applyFont="1" applyFill="1" applyBorder="1" applyAlignment="1">
      <x:alignment horizontal="center" vertical="center"/>
    </x:xf>
    <x:xf numFmtId="0" fontId="7" fillId="2" borderId="29" xfId="0" applyFont="1" applyFill="1" applyBorder="1" applyAlignment="1">
      <x:alignment horizontal="center" vertical="center" wrapText="1"/>
    </x:xf>
    <x:xf numFmtId="0" fontId="8" fillId="2" borderId="33" xfId="0" applyFont="1" applyFill="1" applyBorder="1" applyAlignment="1">
      <x:alignment horizontal="center" vertical="center"/>
    </x:xf>
    <x:xf numFmtId="0" fontId="8" fillId="2" borderId="9" xfId="0" applyFont="1" applyFill="1" applyBorder="1" applyAlignment="1">
      <x:alignment horizontal="center" vertical="center"/>
    </x:xf>
    <x:xf numFmtId="0" fontId="8" fillId="2" borderId="10" xfId="0" applyFont="1" applyFill="1" applyBorder="1" applyAlignment="1">
      <x:alignment horizontal="center" vertical="center"/>
    </x:xf>
    <x:xf numFmtId="0" fontId="7" fillId="11" borderId="33" xfId="0" applyFont="1" applyFill="1" applyBorder="1" applyAlignment="1">
      <x:alignment horizontal="center" vertical="center" wrapText="1"/>
    </x:xf>
    <x:xf numFmtId="0" fontId="7" fillId="11" borderId="9" xfId="0" applyFont="1" applyFill="1" applyBorder="1" applyAlignment="1">
      <x:alignment horizontal="center" vertical="center"/>
    </x:xf>
    <x:xf numFmtId="0" fontId="7" fillId="11" borderId="29" xfId="0" applyFont="1" applyFill="1" applyBorder="1" applyAlignment="1">
      <x:alignment horizontal="center" vertical="center"/>
    </x:xf>
    <x:xf numFmtId="0" fontId="10" fillId="0" borderId="20" xfId="0" applyFont="1" applyBorder="1" applyAlignment="1">
      <x:alignment horizontal="center" vertical="center"/>
    </x:xf>
    <x:xf numFmtId="0" fontId="10" fillId="0" borderId="21" xfId="0" applyFont="1" applyBorder="1" applyAlignment="1">
      <x:alignment horizontal="center" vertical="center"/>
    </x:xf>
    <x:xf numFmtId="0" fontId="15" fillId="0" borderId="0" xfId="0" applyFont="1">
      <x:alignment vertical="center"/>
    </x:xf>
    <x:xf numFmtId="0" fontId="17" fillId="0" borderId="7" xfId="0" applyFont="1" applyBorder="1" applyAlignment="1">
      <x:alignment horizontal="center" vertical="center"/>
    </x:xf>
    <x:xf numFmtId="0" fontId="17" fillId="8" borderId="7" xfId="0" applyFont="1" applyFill="1" applyBorder="1" applyAlignment="1">
      <x:alignment horizontal="center" vertical="center"/>
    </x:xf>
    <x:xf numFmtId="0" fontId="5" fillId="3" borderId="7" xfId="0" applyFont="1" applyFill="1" applyBorder="1" applyAlignment="1">
      <x:alignment horizontal="center" vertical="center"/>
    </x:xf>
    <x:xf numFmtId="0" fontId="5" fillId="3" borderId="20" xfId="0" applyFont="1" applyFill="1" applyBorder="1" applyAlignment="1">
      <x:alignment horizontal="center" vertical="center"/>
    </x:xf>
    <x:xf numFmtId="0" fontId="6" fillId="3" borderId="21" xfId="0" applyFont="1" applyFill="1" applyBorder="1" applyAlignment="1">
      <x:alignment horizontal="center" vertical="center"/>
    </x:xf>
    <x:xf numFmtId="0" fontId="6" fillId="3" borderId="7" xfId="0" applyFont="1" applyFill="1" applyBorder="1" applyAlignment="1">
      <x:alignment horizontal="center" vertical="center"/>
    </x:xf>
    <x:xf numFmtId="0" fontId="6" fillId="3" borderId="20" xfId="0" applyFont="1" applyFill="1" applyBorder="1" applyAlignment="1">
      <x:alignment horizontal="center" vertical="center"/>
    </x:xf>
    <x:xf numFmtId="0" fontId="5" fillId="11" borderId="21" xfId="0" applyFont="1" applyFill="1" applyBorder="1" applyAlignment="1">
      <x:alignment horizontal="center" vertical="center" wrapText="1"/>
    </x:xf>
    <x:xf numFmtId="0" fontId="5" fillId="11" borderId="7" xfId="0" applyFont="1" applyFill="1" applyBorder="1" applyAlignment="1">
      <x:alignment horizontal="center" vertical="center" wrapText="1"/>
    </x:xf>
    <x:xf numFmtId="0" fontId="5" fillId="11" borderId="20" xfId="0" applyFont="1" applyFill="1" applyBorder="1" applyAlignment="1">
      <x:alignment horizontal="center" vertical="center" wrapText="1"/>
    </x:xf>
    <x:xf numFmtId="0" fontId="5" fillId="0" borderId="26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right" vertical="center"/>
    </x:xf>
    <x:xf numFmtId="0" fontId="4" fillId="0" borderId="12" xfId="0" applyFont="1" applyBorder="1" applyAlignment="1">
      <x:alignment horizontal="right" vertical="center"/>
    </x:xf>
    <x:xf numFmtId="0" fontId="4" fillId="0" borderId="32" xfId="0" applyFont="1" applyBorder="1" applyAlignment="1">
      <x:alignment horizontal="right" vertical="center"/>
    </x:xf>
    <x:xf numFmtId="0" fontId="15" fillId="0" borderId="0" xfId="0" applyFont="1" applyAlignment="1">
      <x:alignment horizontal="center" vertical="center"/>
    </x:xf>
    <x:xf numFmtId="0" fontId="14" fillId="0" borderId="0" xfId="0" applyFont="1" applyAlignment="1">
      <x:alignment horizontal="center" vertical="center"/>
    </x:xf>
    <x:xf numFmtId="0" fontId="5" fillId="10" borderId="21" xfId="0" applyFont="1" applyFill="1" applyBorder="1" applyAlignment="1">
      <x:alignment horizontal="center" vertical="center"/>
    </x:xf>
    <x:xf numFmtId="0" fontId="5" fillId="10" borderId="7" xfId="0" applyFont="1" applyFill="1" applyBorder="1" applyAlignment="1">
      <x:alignment horizontal="center" vertical="center"/>
    </x:xf>
    <x:xf numFmtId="0" fontId="4" fillId="0" borderId="17" xfId="0" applyFont="1" applyBorder="1" applyAlignment="1">
      <x:alignment horizontal="right" vertical="center"/>
    </x:xf>
  </x:cellXfs>
  <x:cellStyles count="1">
    <x:cellStyle name="常规" xfId="0"/>
  </x:cellStyles>
  <x:dxfs count="16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theme="4" tint="0.59996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theme="4" tint="0.59996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ad5b37e4045a2" /><Relationship Type="http://schemas.openxmlformats.org/officeDocument/2006/relationships/theme" Target="/xl/theme/theme1.xml" Id="Rf45896c08f704f0a" /><Relationship Type="http://schemas.openxmlformats.org/officeDocument/2006/relationships/sharedStrings" Target="/xl/sharedStrings.xml" Id="Rb23c5791179d495a" /><Relationship Type="http://schemas.openxmlformats.org/officeDocument/2006/relationships/worksheet" Target="/xl/worksheets/sheet1.xml" Id="R251c1ece646345df" /><Relationship Type="http://schemas.openxmlformats.org/officeDocument/2006/relationships/worksheet" Target="/xl/worksheets/sheet2.xml" Id="R9f7c61e619a34903" /><Relationship Type="http://schemas.openxmlformats.org/officeDocument/2006/relationships/worksheet" Target="/xl/worksheets/sheet3.xml" Id="R1a7c375556e84fe3" /><Relationship Type="http://schemas.openxmlformats.org/officeDocument/2006/relationships/worksheet" Target="/xl/worksheets/sheet4.xml" Id="R0329121a2eb74301" /><Relationship Type="http://schemas.openxmlformats.org/officeDocument/2006/relationships/worksheet" Target="/xl/worksheets/sheet5.xml" Id="R403b218f781441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e88a8618cb647d9" /></Relationships>
</file>

<file path=xl/drawings/drawing1.xml><?xml version="1.0" encoding="utf-8"?>
<xdr:wsDr xmlns:xdr="http://schemas.openxmlformats.org/drawingml/2006/spreadsheetDrawing">
  <xdr:twoCellAnchor editAs="oneCell">
    <xdr:from>
      <xdr:col>5</xdr:col>
      <xdr:colOff>361950</xdr:colOff>
      <xdr:row>32</xdr:row>
      <xdr:rowOff>19050</xdr:rowOff>
    </xdr:from>
    <xdr:to>
      <xdr:col>7</xdr:col>
      <xdr:colOff>38100</xdr:colOff>
      <xdr:row>35</xdr:row>
      <xdr:rowOff>35942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88a8618cb647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44e516dbd2a644ef" /></Relationships>
</file>

<file path=xl/worksheets/sheet1.xml><?xml version="1.0" encoding="utf-8"?>
<x:worksheet xmlns:x="http://schemas.openxmlformats.org/spreadsheetml/2006/main">
  <x:sheetPr>
    <x:tabColor theme="5" tint="-0.24998"/>
  </x:sheetPr>
  <x:sheetFormatPr defaultColWidth="9" defaultRowHeight="14"/>
  <x:cols>
    <x:col min="1" max="4" width="3.58203125" style="23" customWidth="1"/>
    <x:col min="5" max="6" width="7.58203125" style="23" customWidth="1"/>
    <x:col min="7" max="11" width="6.58203125" style="23" customWidth="1"/>
    <x:col min="12" max="12" width="6.58203125" style="23" hidden="1" customWidth="1"/>
    <x:col min="13" max="13" width="5" style="23" hidden="1" customWidth="1"/>
    <x:col min="14" max="14" width="7.83203125" style="23" customWidth="1"/>
    <x:col min="15" max="18" width="3.58203125" style="23" customWidth="1"/>
  </x:cols>
  <x:sheetData>
    <x:row r="1" ht="27" customHeight="1">
      <x:c r="A1" s="78" t="s">
        <x:v>0</x:v>
      </x:c>
      <x:c r="B1" s="78"/>
      <x:c r="C1" s="78"/>
      <x:c r="D1" s="78"/>
      <x:c r="E1" s="79"/>
      <x:c r="F1" s="80" t="s">
        <x:v>1</x:v>
      </x:c>
      <x:c r="G1" s="81"/>
      <x:c r="H1" s="81"/>
      <x:c r="I1" s="81"/>
      <x:c r="J1" s="81"/>
      <x:c r="K1" s="81"/>
      <x:c r="L1" s="81"/>
      <x:c r="M1" s="82"/>
      <x:c r="N1" s="83" t="s">
        <x:v>2</x:v>
      </x:c>
      <x:c r="O1" s="84"/>
      <x:c r="P1" s="84"/>
      <x:c r="Q1" s="84"/>
      <x:c r="R1" s="85"/>
    </x:row>
    <x:row r="2" ht="28">
      <x:c r="A2" s="65" t="s">
        <x:v>3</x:v>
      </x:c>
      <x:c r="B2" s="65" t="s">
        <x:v>4</x:v>
      </x:c>
      <x:c r="C2" s="65" t="s">
        <x:v>5</x:v>
      </x:c>
      <x:c r="D2" s="65" t="s">
        <x:v>6</x:v>
      </x:c>
      <x:c r="E2" s="66" t="s">
        <x:v>7</x:v>
      </x:c>
      <x:c r="F2" s="67" t="s">
        <x:v>8</x:v>
      </x:c>
      <x:c r="G2" s="68" t="s">
        <x:v>9</x:v>
      </x:c>
      <x:c r="H2" s="68" t="s">
        <x:v>10</x:v>
      </x:c>
      <x:c r="I2" s="68" t="s">
        <x:v>11</x:v>
      </x:c>
      <x:c r="J2" s="68" t="s">
        <x:v>12</x:v>
      </x:c>
      <x:c r="K2" s="68" t="s">
        <x:v>13</x:v>
      </x:c>
      <x:c r="L2" s="68"/>
      <x:c r="M2" s="69"/>
      <x:c r="N2" s="70" t="s">
        <x:v>14</x:v>
      </x:c>
      <x:c r="O2" s="71" t="s">
        <x:v>15</x:v>
      </x:c>
      <x:c r="P2" s="71" t="s">
        <x:v>16</x:v>
      </x:c>
      <x:c r="Q2" s="71" t="s">
        <x:v>17</x:v>
      </x:c>
      <x:c r="R2" s="72" t="s">
        <x:v>18</x:v>
      </x:c>
    </x:row>
    <x:row r="3" ht="16.5">
      <x:c r="A3" s="76" t="n">
        <x:f t="shared" ref="A3:A31" si="0">IF(ISNUMBER($E3),IF(MOD($E3,16)/8&gt;=1,1,0),"")</x:f>
        <x:v>0</x:v>
      </x:c>
      <x:c r="B3" s="76" t="n">
        <x:f t="shared" ref="B3:B31" si="1">IF(ISNUMBER($E3),IF(MOD($E3,8)/4&gt;=1,1,0),"")</x:f>
        <x:v>0</x:v>
      </x:c>
      <x:c r="C3" s="76" t="n">
        <x:f t="shared" ref="C3:C31" si="2">IF(ISNUMBER($E3),IF(MOD($E3,4)/2&gt;=1,1,0),"")</x:f>
        <x:v>0</x:v>
      </x:c>
      <x:c r="D3" s="76" t="n">
        <x:f t="shared" ref="D3:D31" si="3">IF(ISNUMBER($E3),MOD($E3,2),"")</x:f>
        <x:v>0</x:v>
      </x:c>
      <x:c r="E3" s="73" t="n">
        <x:v>0</x:v>
      </x:c>
      <x:c r="F3" s="37"/>
      <x:c r="G3" s="38"/>
      <x:c r="H3" s="38"/>
      <x:c r="I3" s="38"/>
      <x:c r="J3" s="38"/>
      <x:c r="K3" s="38"/>
      <x:c r="L3" s="38"/>
      <x:c r="M3" s="63"/>
      <x:c r="N3" s="74" t="n">
        <x:v>1</x:v>
      </x:c>
      <x:c r="O3" s="76" t="n">
        <x:v>0</x:v>
      </x:c>
      <x:c r="P3" s="76" t="n">
        <x:v>0</x:v>
      </x:c>
      <x:c r="Q3" s="76" t="n">
        <x:v>0</x:v>
      </x:c>
      <x:c r="R3" s="76" t="n">
        <x:v>1</x:v>
      </x:c>
    </x:row>
    <x:row r="4" ht="16.5">
      <x:c r="A4" s="77" t="n">
        <x:f t="shared" si="0"/>
        <x:v>0</x:v>
      </x:c>
      <x:c r="B4" s="77" t="n">
        <x:f t="shared" si="1"/>
        <x:v>0</x:v>
      </x:c>
      <x:c r="C4" s="77" t="n">
        <x:f t="shared" si="2"/>
        <x:v>0</x:v>
      </x:c>
      <x:c r="D4" s="77" t="n">
        <x:f t="shared" si="3"/>
        <x:v>1</x:v>
      </x:c>
      <x:c r="E4" s="31" t="n">
        <x:v>1</x:v>
      </x:c>
      <x:c r="F4" s="32"/>
      <x:c r="G4" s="33"/>
      <x:c r="H4" s="33"/>
      <x:c r="I4" s="33"/>
      <x:c r="J4" s="33"/>
      <x:c r="K4" s="33"/>
      <x:c r="L4" s="33"/>
      <x:c r="M4" s="36"/>
      <x:c r="N4" s="62" t="n">
        <x:v>2</x:v>
      </x:c>
      <x:c r="O4" s="77" t="n">
        <x:f t="shared" ref="O4:O31" si="4">IF(ISNUMBER($N4),IF(MOD($N4,16)/8&gt;=1,1,0),"")</x:f>
        <x:v>0</x:v>
      </x:c>
      <x:c r="P4" s="77" t="n">
        <x:f t="shared" ref="P4:P31" si="5">IF(ISNUMBER($N4),IF(MOD($N4,8)/4&gt;=1,1,0),"")</x:f>
        <x:v>0</x:v>
      </x:c>
      <x:c r="Q4" s="77" t="n">
        <x:f t="shared" ref="Q4:Q31" si="6">IF(ISNUMBER($N4),IF(MOD($N4,4)/2&gt;=1,1,0),"")</x:f>
        <x:v>1</x:v>
      </x:c>
      <x:c r="R4" s="77" t="n">
        <x:f t="shared" ref="R4:R31" si="7">IF(ISNUMBER($N4),MOD($N4,2),"")</x:f>
        <x:v>0</x:v>
      </x:c>
    </x:row>
    <x:row r="5" ht="16.5">
      <x:c r="A5" s="76" t="n">
        <x:f t="shared" si="0"/>
        <x:v>0</x:v>
      </x:c>
      <x:c r="B5" s="76" t="n">
        <x:f t="shared" si="1"/>
        <x:v>0</x:v>
      </x:c>
      <x:c r="C5" s="76" t="n">
        <x:f t="shared" si="2"/>
        <x:v>1</x:v>
      </x:c>
      <x:c r="D5" s="76" t="n">
        <x:f t="shared" si="3"/>
        <x:v>0</x:v>
      </x:c>
      <x:c r="E5" s="73" t="n">
        <x:v>2</x:v>
      </x:c>
      <x:c r="F5" s="37"/>
      <x:c r="G5" s="38"/>
      <x:c r="H5" s="38"/>
      <x:c r="I5" s="38"/>
      <x:c r="J5" s="38"/>
      <x:c r="K5" s="38"/>
      <x:c r="L5" s="38"/>
      <x:c r="M5" s="63"/>
      <x:c r="N5" s="74" t="n">
        <x:v>3</x:v>
      </x:c>
      <x:c r="O5" s="76" t="n">
        <x:f t="shared" si="4"/>
        <x:v>0</x:v>
      </x:c>
      <x:c r="P5" s="76" t="n">
        <x:f t="shared" si="5"/>
        <x:v>0</x:v>
      </x:c>
      <x:c r="Q5" s="76" t="n">
        <x:f t="shared" si="6"/>
        <x:v>1</x:v>
      </x:c>
      <x:c r="R5" s="76" t="n">
        <x:f t="shared" si="7"/>
        <x:v>1</x:v>
      </x:c>
    </x:row>
    <x:row r="6" ht="16.5">
      <x:c r="A6" s="77" t="n">
        <x:f t="shared" si="0"/>
        <x:v>0</x:v>
      </x:c>
      <x:c r="B6" s="77" t="n">
        <x:f t="shared" si="1"/>
        <x:v>0</x:v>
      </x:c>
      <x:c r="C6" s="77" t="n">
        <x:f t="shared" si="2"/>
        <x:v>1</x:v>
      </x:c>
      <x:c r="D6" s="77" t="n">
        <x:f t="shared" si="3"/>
        <x:v>1</x:v>
      </x:c>
      <x:c r="E6" s="31" t="n">
        <x:v>3</x:v>
      </x:c>
      <x:c r="F6" s="32" t="n">
        <x:v>1</x:v>
      </x:c>
      <x:c r="G6" s="33"/>
      <x:c r="H6" s="33"/>
      <x:c r="I6" s="33"/>
      <x:c r="J6" s="33"/>
      <x:c r="K6" s="36"/>
      <x:c r="L6" s="33"/>
      <x:c r="M6" s="36"/>
      <x:c r="N6" s="62" t="n">
        <x:v>4</x:v>
      </x:c>
      <x:c r="O6" s="77" t="n">
        <x:f t="shared" si="4"/>
        <x:v>0</x:v>
      </x:c>
      <x:c r="P6" s="77" t="n">
        <x:f t="shared" si="5"/>
        <x:v>1</x:v>
      </x:c>
      <x:c r="Q6" s="77" t="n">
        <x:f t="shared" si="6"/>
        <x:v>0</x:v>
      </x:c>
      <x:c r="R6" s="77" t="n">
        <x:f t="shared" si="7"/>
        <x:v>0</x:v>
      </x:c>
    </x:row>
    <x:row r="7" ht="16.5">
      <x:c r="A7" s="76" t="n">
        <x:f t="shared" si="0"/>
        <x:v>0</x:v>
      </x:c>
      <x:c r="B7" s="76" t="n">
        <x:f t="shared" si="1"/>
        <x:v>0</x:v>
      </x:c>
      <x:c r="C7" s="76" t="n">
        <x:f t="shared" si="2"/>
        <x:v>1</x:v>
      </x:c>
      <x:c r="D7" s="76" t="n">
        <x:f t="shared" si="3"/>
        <x:v>1</x:v>
      </x:c>
      <x:c r="E7" s="73" t="n">
        <x:v>3</x:v>
      </x:c>
      <x:c r="F7" s="37"/>
      <x:c r="G7" s="38" t="n">
        <x:v>1</x:v>
      </x:c>
      <x:c r="H7" s="38"/>
      <x:c r="I7" s="38"/>
      <x:c r="J7" s="38"/>
      <x:c r="K7" s="63"/>
      <x:c r="L7" s="38"/>
      <x:c r="M7" s="63"/>
      <x:c r="N7" s="74" t="n">
        <x:v>4</x:v>
      </x:c>
      <x:c r="O7" s="76" t="n">
        <x:f t="shared" si="4"/>
        <x:v>0</x:v>
      </x:c>
      <x:c r="P7" s="76" t="n">
        <x:f t="shared" si="5"/>
        <x:v>1</x:v>
      </x:c>
      <x:c r="Q7" s="76" t="n">
        <x:f t="shared" si="6"/>
        <x:v>0</x:v>
      </x:c>
      <x:c r="R7" s="76" t="n">
        <x:f t="shared" si="7"/>
        <x:v>0</x:v>
      </x:c>
    </x:row>
    <x:row r="8" ht="16.5">
      <x:c r="A8" s="77" t="n">
        <x:f t="shared" si="0"/>
        <x:v>0</x:v>
      </x:c>
      <x:c r="B8" s="77" t="n">
        <x:f t="shared" si="1"/>
        <x:v>0</x:v>
      </x:c>
      <x:c r="C8" s="77" t="n">
        <x:f t="shared" si="2"/>
        <x:v>1</x:v>
      </x:c>
      <x:c r="D8" s="77" t="n">
        <x:f t="shared" si="3"/>
        <x:v>1</x:v>
      </x:c>
      <x:c r="E8" s="31" t="n">
        <x:v>3</x:v>
      </x:c>
      <x:c r="F8" s="32"/>
      <x:c r="G8" s="33"/>
      <x:c r="H8" s="33" t="n">
        <x:v>1</x:v>
      </x:c>
      <x:c r="I8" s="33"/>
      <x:c r="J8" s="33"/>
      <x:c r="K8" s="36"/>
      <x:c r="L8" s="33"/>
      <x:c r="M8" s="36"/>
      <x:c r="N8" s="62" t="n">
        <x:v>4</x:v>
      </x:c>
      <x:c r="O8" s="77" t="n">
        <x:f t="shared" si="4"/>
        <x:v>0</x:v>
      </x:c>
      <x:c r="P8" s="77" t="n">
        <x:f t="shared" si="5"/>
        <x:v>1</x:v>
      </x:c>
      <x:c r="Q8" s="77" t="n">
        <x:f t="shared" si="6"/>
        <x:v>0</x:v>
      </x:c>
      <x:c r="R8" s="77" t="n">
        <x:f t="shared" si="7"/>
        <x:v>0</x:v>
      </x:c>
    </x:row>
    <x:row r="9" ht="16.5">
      <x:c r="A9" s="76" t="n">
        <x:f t="shared" si="0"/>
        <x:v>0</x:v>
      </x:c>
      <x:c r="B9" s="76" t="n">
        <x:f t="shared" si="1"/>
        <x:v>0</x:v>
      </x:c>
      <x:c r="C9" s="76" t="n">
        <x:f t="shared" si="2"/>
        <x:v>1</x:v>
      </x:c>
      <x:c r="D9" s="76" t="n">
        <x:f t="shared" si="3"/>
        <x:v>1</x:v>
      </x:c>
      <x:c r="E9" s="73" t="n">
        <x:v>3</x:v>
      </x:c>
      <x:c r="F9" s="37"/>
      <x:c r="G9" s="38"/>
      <x:c r="H9" s="38"/>
      <x:c r="I9" s="38" t="n">
        <x:v>1</x:v>
      </x:c>
      <x:c r="J9" s="38"/>
      <x:c r="K9" s="63"/>
      <x:c r="L9" s="38"/>
      <x:c r="M9" s="63"/>
      <x:c r="N9" s="74" t="n">
        <x:v>6</x:v>
      </x:c>
      <x:c r="O9" s="76" t="n">
        <x:f t="shared" si="4"/>
        <x:v>0</x:v>
      </x:c>
      <x:c r="P9" s="76" t="n">
        <x:f t="shared" si="5"/>
        <x:v>1</x:v>
      </x:c>
      <x:c r="Q9" s="76" t="n">
        <x:f t="shared" si="6"/>
        <x:v>1</x:v>
      </x:c>
      <x:c r="R9" s="76" t="n">
        <x:f t="shared" si="7"/>
        <x:v>0</x:v>
      </x:c>
    </x:row>
    <x:row r="10" ht="16.5">
      <x:c r="A10" s="77" t="n">
        <x:f t="shared" si="0"/>
        <x:v>0</x:v>
      </x:c>
      <x:c r="B10" s="77" t="n">
        <x:f t="shared" si="1"/>
        <x:v>0</x:v>
      </x:c>
      <x:c r="C10" s="77" t="n">
        <x:f t="shared" si="2"/>
        <x:v>1</x:v>
      </x:c>
      <x:c r="D10" s="77" t="n">
        <x:f t="shared" si="3"/>
        <x:v>1</x:v>
      </x:c>
      <x:c r="E10" s="31" t="n">
        <x:v>3</x:v>
      </x:c>
      <x:c r="F10" s="32"/>
      <x:c r="G10" s="33"/>
      <x:c r="H10" s="33"/>
      <x:c r="I10" s="33"/>
      <x:c r="J10" s="33" t="n">
        <x:v>1</x:v>
      </x:c>
      <x:c r="K10" s="36"/>
      <x:c r="L10" s="33"/>
      <x:c r="M10" s="36"/>
      <x:c r="N10" s="62" t="n">
        <x:v>6</x:v>
      </x:c>
      <x:c r="O10" s="77" t="n">
        <x:f t="shared" si="4"/>
        <x:v>0</x:v>
      </x:c>
      <x:c r="P10" s="77" t="n">
        <x:f t="shared" si="5"/>
        <x:v>1</x:v>
      </x:c>
      <x:c r="Q10" s="77" t="n">
        <x:f t="shared" si="6"/>
        <x:v>1</x:v>
      </x:c>
      <x:c r="R10" s="77" t="n">
        <x:f t="shared" si="7"/>
        <x:v>0</x:v>
      </x:c>
    </x:row>
    <x:row r="11" ht="16.5">
      <x:c r="A11" s="76" t="n">
        <x:f t="shared" si="0"/>
        <x:v>0</x:v>
      </x:c>
      <x:c r="B11" s="76" t="n">
        <x:f t="shared" si="1"/>
        <x:v>0</x:v>
      </x:c>
      <x:c r="C11" s="76" t="n">
        <x:f t="shared" si="2"/>
        <x:v>1</x:v>
      </x:c>
      <x:c r="D11" s="76" t="n">
        <x:f t="shared" si="3"/>
        <x:v>1</x:v>
      </x:c>
      <x:c r="E11" s="73" t="n">
        <x:v>3</x:v>
      </x:c>
      <x:c r="F11" s="37"/>
      <x:c r="G11" s="38"/>
      <x:c r="H11" s="38"/>
      <x:c r="I11" s="38"/>
      <x:c r="J11" s="38"/>
      <x:c r="K11" s="63" t="n">
        <x:v>1</x:v>
      </x:c>
      <x:c r="L11" s="38"/>
      <x:c r="M11" s="63"/>
      <x:c r="N11" s="74" t="n">
        <x:v>6</x:v>
      </x:c>
      <x:c r="O11" s="76" t="n">
        <x:f t="shared" si="4"/>
        <x:v>0</x:v>
      </x:c>
      <x:c r="P11" s="76" t="n">
        <x:f t="shared" si="5"/>
        <x:v>1</x:v>
      </x:c>
      <x:c r="Q11" s="76" t="n">
        <x:f t="shared" si="6"/>
        <x:v>1</x:v>
      </x:c>
      <x:c r="R11" s="76" t="n">
        <x:f t="shared" si="7"/>
        <x:v>0</x:v>
      </x:c>
    </x:row>
    <x:row r="12" ht="16.5">
      <x:c r="A12" s="77" t="n">
        <x:f t="shared" si="0"/>
        <x:v>0</x:v>
      </x:c>
      <x:c r="B12" s="77" t="n">
        <x:f t="shared" si="1"/>
        <x:v>1</x:v>
      </x:c>
      <x:c r="C12" s="77" t="n">
        <x:f t="shared" si="2"/>
        <x:v>0</x:v>
      </x:c>
      <x:c r="D12" s="77" t="n">
        <x:f t="shared" si="3"/>
        <x:v>0</x:v>
      </x:c>
      <x:c r="E12" s="31" t="n">
        <x:v>4</x:v>
      </x:c>
      <x:c r="F12" s="32"/>
      <x:c r="G12" s="33"/>
      <x:c r="H12" s="33"/>
      <x:c r="I12" s="33"/>
      <x:c r="J12" s="33"/>
      <x:c r="K12" s="36"/>
      <x:c r="L12" s="33"/>
      <x:c r="M12" s="36"/>
      <x:c r="N12" s="62" t="n">
        <x:v>5</x:v>
      </x:c>
      <x:c r="O12" s="77" t="n">
        <x:f t="shared" si="4"/>
        <x:v>0</x:v>
      </x:c>
      <x:c r="P12" s="77" t="n">
        <x:f t="shared" si="5"/>
        <x:v>1</x:v>
      </x:c>
      <x:c r="Q12" s="77" t="n">
        <x:f t="shared" si="6"/>
        <x:v>0</x:v>
      </x:c>
      <x:c r="R12" s="77" t="n">
        <x:f t="shared" si="7"/>
        <x:v>1</x:v>
      </x:c>
    </x:row>
    <x:row r="13" ht="16.5">
      <x:c r="A13" s="76" t="n">
        <x:f t="shared" si="0"/>
        <x:v>0</x:v>
      </x:c>
      <x:c r="B13" s="76" t="n">
        <x:f t="shared" si="1"/>
        <x:v>1</x:v>
      </x:c>
      <x:c r="C13" s="76" t="n">
        <x:f t="shared" si="2"/>
        <x:v>0</x:v>
      </x:c>
      <x:c r="D13" s="76" t="n">
        <x:f t="shared" si="3"/>
        <x:v>1</x:v>
      </x:c>
      <x:c r="E13" s="73" t="n">
        <x:v>5</x:v>
      </x:c>
      <x:c r="F13" s="37"/>
      <x:c r="G13" s="38"/>
      <x:c r="H13" s="38"/>
      <x:c r="I13" s="38"/>
      <x:c r="J13" s="38"/>
      <x:c r="K13" s="63"/>
      <x:c r="L13" s="38"/>
      <x:c r="M13" s="63"/>
      <x:c r="N13" s="74" t="n">
        <x:v>6</x:v>
      </x:c>
      <x:c r="O13" s="76" t="n">
        <x:f t="shared" si="4"/>
        <x:v>0</x:v>
      </x:c>
      <x:c r="P13" s="76" t="n">
        <x:f t="shared" si="5"/>
        <x:v>1</x:v>
      </x:c>
      <x:c r="Q13" s="76" t="n">
        <x:f t="shared" si="6"/>
        <x:v>1</x:v>
      </x:c>
      <x:c r="R13" s="76" t="n">
        <x:f t="shared" si="7"/>
        <x:v>0</x:v>
      </x:c>
    </x:row>
    <x:row r="14" ht="16.5">
      <x:c r="A14" s="77" t="n">
        <x:f t="shared" si="0"/>
        <x:v>0</x:v>
      </x:c>
      <x:c r="B14" s="77" t="n">
        <x:f t="shared" si="1"/>
        <x:v>1</x:v>
      </x:c>
      <x:c r="C14" s="77" t="n">
        <x:f t="shared" si="2"/>
        <x:v>1</x:v>
      </x:c>
      <x:c r="D14" s="77" t="n">
        <x:f t="shared" si="3"/>
        <x:v>0</x:v>
      </x:c>
      <x:c r="E14" s="31" t="n">
        <x:v>6</x:v>
      </x:c>
      <x:c r="F14" s="32"/>
      <x:c r="G14" s="33"/>
      <x:c r="H14" s="33"/>
      <x:c r="I14" s="33"/>
      <x:c r="J14" s="33"/>
      <x:c r="K14" s="33"/>
      <x:c r="L14" s="33"/>
      <x:c r="M14" s="36"/>
      <x:c r="N14" s="62" t="n">
        <x:v>7</x:v>
      </x:c>
      <x:c r="O14" s="77" t="n">
        <x:f t="shared" si="4"/>
        <x:v>0</x:v>
      </x:c>
      <x:c r="P14" s="77" t="n">
        <x:f t="shared" si="5"/>
        <x:v>1</x:v>
      </x:c>
      <x:c r="Q14" s="77" t="n">
        <x:f t="shared" si="6"/>
        <x:v>1</x:v>
      </x:c>
      <x:c r="R14" s="77" t="n">
        <x:f t="shared" si="7"/>
        <x:v>1</x:v>
      </x:c>
    </x:row>
    <x:row r="15" ht="16.5">
      <x:c r="A15" s="76" t="n">
        <x:f t="shared" si="0"/>
        <x:v>0</x:v>
      </x:c>
      <x:c r="B15" s="76" t="n">
        <x:f t="shared" si="1"/>
        <x:v>1</x:v>
      </x:c>
      <x:c r="C15" s="76" t="n">
        <x:f t="shared" si="2"/>
        <x:v>1</x:v>
      </x:c>
      <x:c r="D15" s="76" t="n">
        <x:f t="shared" si="3"/>
        <x:v>1</x:v>
      </x:c>
      <x:c r="E15" s="73" t="n">
        <x:v>7</x:v>
      </x:c>
      <x:c r="F15" s="37"/>
      <x:c r="G15" s="38"/>
      <x:c r="H15" s="38"/>
      <x:c r="I15" s="38"/>
      <x:c r="J15" s="38"/>
      <x:c r="K15" s="63"/>
      <x:c r="L15" s="38"/>
      <x:c r="M15" s="63"/>
      <x:c r="N15" s="74" t="n">
        <x:v>8</x:v>
      </x:c>
      <x:c r="O15" s="76" t="n">
        <x:f t="shared" si="4"/>
        <x:v>1</x:v>
      </x:c>
      <x:c r="P15" s="76" t="n">
        <x:f t="shared" si="5"/>
        <x:v>0</x:v>
      </x:c>
      <x:c r="Q15" s="76" t="n">
        <x:f t="shared" si="6"/>
        <x:v>0</x:v>
      </x:c>
      <x:c r="R15" s="76" t="n">
        <x:f t="shared" si="7"/>
        <x:v>0</x:v>
      </x:c>
    </x:row>
    <x:row r="16" ht="16.5">
      <x:c r="A16" s="77" t="n">
        <x:f t="shared" si="0"/>
        <x:v>1</x:v>
      </x:c>
      <x:c r="B16" s="77" t="n">
        <x:f t="shared" si="1"/>
        <x:v>0</x:v>
      </x:c>
      <x:c r="C16" s="77" t="n">
        <x:f t="shared" si="2"/>
        <x:v>0</x:v>
      </x:c>
      <x:c r="D16" s="77" t="n">
        <x:f t="shared" si="3"/>
        <x:v>0</x:v>
      </x:c>
      <x:c r="E16" s="31" t="n">
        <x:v>8</x:v>
      </x:c>
      <x:c r="F16" s="32"/>
      <x:c r="G16" s="33"/>
      <x:c r="H16" s="33"/>
      <x:c r="I16" s="33"/>
      <x:c r="J16" s="33"/>
      <x:c r="K16" s="33"/>
      <x:c r="L16" s="33"/>
      <x:c r="M16" s="36"/>
      <x:c r="N16" s="62" t="n">
        <x:v>0</x:v>
      </x:c>
      <x:c r="O16" s="77" t="n">
        <x:f t="shared" si="4"/>
        <x:v>0</x:v>
      </x:c>
      <x:c r="P16" s="77" t="n">
        <x:f t="shared" si="5"/>
        <x:v>0</x:v>
      </x:c>
      <x:c r="Q16" s="77" t="n">
        <x:f t="shared" si="6"/>
        <x:v>0</x:v>
      </x:c>
      <x:c r="R16" s="77" t="n">
        <x:f t="shared" si="7"/>
        <x:v>0</x:v>
      </x:c>
    </x:row>
    <x:row r="17" ht="16.5">
      <x:c r="A17" s="26" t="str">
        <x:f t="shared" si="0"/>
      </x:c>
      <x:c r="B17" s="26" t="str">
        <x:f t="shared" si="1"/>
      </x:c>
      <x:c r="C17" s="26" t="str">
        <x:f t="shared" si="2"/>
      </x:c>
      <x:c r="D17" s="26" t="str">
        <x:f t="shared" si="3"/>
      </x:c>
      <x:c r="E17" s="73"/>
      <x:c r="F17" s="37"/>
      <x:c r="G17" s="38"/>
      <x:c r="H17" s="38"/>
      <x:c r="I17" s="38"/>
      <x:c r="J17" s="38"/>
      <x:c r="K17" s="63"/>
      <x:c r="L17" s="38"/>
      <x:c r="M17" s="63"/>
      <x:c r="N17" s="74"/>
      <x:c r="O17" s="26" t="str">
        <x:f t="shared" si="4"/>
      </x:c>
      <x:c r="P17" s="26" t="str">
        <x:f t="shared" si="5"/>
      </x:c>
      <x:c r="Q17" s="26" t="str">
        <x:f t="shared" si="6"/>
      </x:c>
      <x:c r="R17" s="26" t="str">
        <x:f t="shared" si="7"/>
      </x:c>
    </x:row>
    <x:row r="18" ht="16.5">
      <x:c r="A18" s="30" t="str">
        <x:f t="shared" si="0"/>
      </x:c>
      <x:c r="B18" s="30" t="str">
        <x:f t="shared" si="1"/>
      </x:c>
      <x:c r="C18" s="30" t="str">
        <x:f t="shared" si="2"/>
      </x:c>
      <x:c r="D18" s="30" t="str">
        <x:f t="shared" si="3"/>
      </x:c>
      <x:c r="E18" s="31"/>
      <x:c r="F18" s="32"/>
      <x:c r="G18" s="33"/>
      <x:c r="H18" s="33"/>
      <x:c r="I18" s="33"/>
      <x:c r="J18" s="33"/>
      <x:c r="K18" s="33"/>
      <x:c r="L18" s="33"/>
      <x:c r="M18" s="36"/>
      <x:c r="N18" s="62"/>
      <x:c r="O18" s="30" t="str">
        <x:f t="shared" si="4"/>
      </x:c>
      <x:c r="P18" s="30" t="str">
        <x:f t="shared" si="5"/>
      </x:c>
      <x:c r="Q18" s="30" t="str">
        <x:f t="shared" si="6"/>
      </x:c>
      <x:c r="R18" s="30" t="str">
        <x:f t="shared" si="7"/>
      </x:c>
    </x:row>
    <x:row r="19" ht="16.5">
      <x:c r="A19" s="26" t="str">
        <x:f t="shared" si="0"/>
      </x:c>
      <x:c r="B19" s="26" t="str">
        <x:f t="shared" si="1"/>
      </x:c>
      <x:c r="C19" s="26" t="str">
        <x:f t="shared" si="2"/>
      </x:c>
      <x:c r="D19" s="26" t="str">
        <x:f t="shared" si="3"/>
      </x:c>
      <x:c r="E19" s="73"/>
      <x:c r="F19" s="37"/>
      <x:c r="G19" s="38"/>
      <x:c r="H19" s="38"/>
      <x:c r="I19" s="38"/>
      <x:c r="J19" s="38"/>
      <x:c r="K19" s="63"/>
      <x:c r="L19" s="38"/>
      <x:c r="M19" s="63"/>
      <x:c r="N19" s="74"/>
      <x:c r="O19" s="26" t="str">
        <x:f t="shared" si="4"/>
      </x:c>
      <x:c r="P19" s="26" t="str">
        <x:f t="shared" si="5"/>
      </x:c>
      <x:c r="Q19" s="26" t="str">
        <x:f t="shared" si="6"/>
      </x:c>
      <x:c r="R19" s="26" t="str">
        <x:f t="shared" si="7"/>
      </x:c>
    </x:row>
    <x:row r="20" ht="16.5">
      <x:c r="A20" s="30" t="str">
        <x:f t="shared" si="0"/>
      </x:c>
      <x:c r="B20" s="30" t="str">
        <x:f t="shared" si="1"/>
      </x:c>
      <x:c r="C20" s="30" t="str">
        <x:f t="shared" si="2"/>
      </x:c>
      <x:c r="D20" s="30" t="str">
        <x:f t="shared" si="3"/>
      </x:c>
      <x:c r="E20" s="31"/>
      <x:c r="F20" s="32"/>
      <x:c r="G20" s="33"/>
      <x:c r="H20" s="33"/>
      <x:c r="I20" s="33"/>
      <x:c r="J20" s="33"/>
      <x:c r="K20" s="33"/>
      <x:c r="L20" s="33"/>
      <x:c r="M20" s="36"/>
      <x:c r="N20" s="62"/>
      <x:c r="O20" s="30" t="str">
        <x:f t="shared" si="4"/>
      </x:c>
      <x:c r="P20" s="30" t="str">
        <x:f t="shared" si="5"/>
      </x:c>
      <x:c r="Q20" s="30" t="str">
        <x:f t="shared" si="6"/>
      </x:c>
      <x:c r="R20" s="30" t="str">
        <x:f t="shared" si="7"/>
      </x:c>
    </x:row>
    <x:row r="21" ht="16.5">
      <x:c r="A21" s="26" t="str">
        <x:f t="shared" si="0"/>
      </x:c>
      <x:c r="B21" s="26" t="str">
        <x:f t="shared" si="1"/>
      </x:c>
      <x:c r="C21" s="26" t="str">
        <x:f t="shared" si="2"/>
      </x:c>
      <x:c r="D21" s="26" t="str">
        <x:f t="shared" si="3"/>
      </x:c>
      <x:c r="E21" s="73"/>
      <x:c r="F21" s="37"/>
      <x:c r="G21" s="38"/>
      <x:c r="H21" s="38"/>
      <x:c r="I21" s="38"/>
      <x:c r="J21" s="38"/>
      <x:c r="K21" s="63"/>
      <x:c r="L21" s="38"/>
      <x:c r="M21" s="63"/>
      <x:c r="N21" s="74"/>
      <x:c r="O21" s="26" t="str">
        <x:f t="shared" si="4"/>
      </x:c>
      <x:c r="P21" s="26" t="str">
        <x:f t="shared" si="5"/>
      </x:c>
      <x:c r="Q21" s="26" t="str">
        <x:f t="shared" si="6"/>
      </x:c>
      <x:c r="R21" s="26" t="str">
        <x:f t="shared" si="7"/>
      </x:c>
    </x:row>
    <x:row r="22" ht="16.5">
      <x:c r="A22" s="30" t="str">
        <x:f t="shared" si="0"/>
      </x:c>
      <x:c r="B22" s="30" t="str">
        <x:f t="shared" si="1"/>
      </x:c>
      <x:c r="C22" s="30" t="str">
        <x:f t="shared" si="2"/>
      </x:c>
      <x:c r="D22" s="30" t="str">
        <x:f t="shared" si="3"/>
      </x:c>
      <x:c r="E22" s="31"/>
      <x:c r="F22" s="32"/>
      <x:c r="G22" s="33"/>
      <x:c r="H22" s="33"/>
      <x:c r="I22" s="33"/>
      <x:c r="J22" s="33"/>
      <x:c r="K22" s="33"/>
      <x:c r="L22" s="33"/>
      <x:c r="M22" s="36"/>
      <x:c r="N22" s="62"/>
      <x:c r="O22" s="30" t="str">
        <x:f t="shared" si="4"/>
      </x:c>
      <x:c r="P22" s="30" t="str">
        <x:f t="shared" si="5"/>
      </x:c>
      <x:c r="Q22" s="30" t="str">
        <x:f t="shared" si="6"/>
      </x:c>
      <x:c r="R22" s="30" t="str">
        <x:f t="shared" si="7"/>
      </x:c>
      <x:c r="Y22">
        <x:v>1</x:v>
      </x:c>
    </x:row>
    <x:row r="23" ht="16.5">
      <x:c r="A23" s="26" t="str">
        <x:f t="shared" si="0"/>
      </x:c>
      <x:c r="B23" s="26" t="str">
        <x:f t="shared" si="1"/>
      </x:c>
      <x:c r="C23" s="26" t="str">
        <x:f t="shared" si="2"/>
      </x:c>
      <x:c r="D23" s="26" t="str">
        <x:f t="shared" si="3"/>
      </x:c>
      <x:c r="E23" s="73"/>
      <x:c r="F23" s="37"/>
      <x:c r="G23" s="38"/>
      <x:c r="H23" s="38"/>
      <x:c r="I23" s="38"/>
      <x:c r="J23" s="38"/>
      <x:c r="K23" s="63"/>
      <x:c r="L23" s="38"/>
      <x:c r="M23" s="63"/>
      <x:c r="N23" s="74"/>
      <x:c r="O23" s="26" t="str">
        <x:f t="shared" si="4"/>
      </x:c>
      <x:c r="P23" s="26" t="str">
        <x:f t="shared" si="5"/>
      </x:c>
      <x:c r="Q23" s="26" t="str">
        <x:f t="shared" si="6"/>
      </x:c>
      <x:c r="R23" s="26" t="str">
        <x:f t="shared" si="7"/>
      </x:c>
    </x:row>
    <x:row r="24" ht="16.5">
      <x:c r="A24" s="30" t="str">
        <x:f t="shared" si="0"/>
      </x:c>
      <x:c r="B24" s="30" t="str">
        <x:f t="shared" si="1"/>
      </x:c>
      <x:c r="C24" s="30" t="str">
        <x:f t="shared" si="2"/>
      </x:c>
      <x:c r="D24" s="30" t="str">
        <x:f t="shared" si="3"/>
      </x:c>
      <x:c r="E24" s="31"/>
      <x:c r="F24" s="32"/>
      <x:c r="G24" s="33"/>
      <x:c r="H24" s="33"/>
      <x:c r="I24" s="33"/>
      <x:c r="J24" s="33"/>
      <x:c r="K24" s="33"/>
      <x:c r="L24" s="33"/>
      <x:c r="M24" s="36"/>
      <x:c r="N24" s="62"/>
      <x:c r="O24" s="30" t="str">
        <x:f t="shared" si="4"/>
      </x:c>
      <x:c r="P24" s="30" t="str">
        <x:f t="shared" si="5"/>
      </x:c>
      <x:c r="Q24" s="30" t="str">
        <x:f t="shared" si="6"/>
      </x:c>
      <x:c r="R24" s="30" t="str">
        <x:f t="shared" si="7"/>
      </x:c>
    </x:row>
    <x:row r="25" ht="16.5">
      <x:c r="A25" s="26" t="str">
        <x:f t="shared" si="0"/>
      </x:c>
      <x:c r="B25" s="26" t="str">
        <x:f t="shared" si="1"/>
      </x:c>
      <x:c r="C25" s="26" t="str">
        <x:f t="shared" si="2"/>
      </x:c>
      <x:c r="D25" s="26" t="str">
        <x:f t="shared" si="3"/>
      </x:c>
      <x:c r="E25" s="73"/>
      <x:c r="F25" s="37"/>
      <x:c r="G25" s="38"/>
      <x:c r="H25" s="38"/>
      <x:c r="I25" s="38"/>
      <x:c r="J25" s="38"/>
      <x:c r="K25" s="63"/>
      <x:c r="L25" s="38"/>
      <x:c r="M25" s="63"/>
      <x:c r="N25" s="74"/>
      <x:c r="O25" s="26" t="str">
        <x:f t="shared" si="4"/>
      </x:c>
      <x:c r="P25" s="26" t="str">
        <x:f t="shared" si="5"/>
      </x:c>
      <x:c r="Q25" s="26" t="str">
        <x:f t="shared" si="6"/>
      </x:c>
      <x:c r="R25" s="26" t="str">
        <x:f t="shared" si="7"/>
      </x:c>
    </x:row>
    <x:row r="26" ht="16.5">
      <x:c r="A26" s="30" t="str">
        <x:f t="shared" si="0"/>
      </x:c>
      <x:c r="B26" s="30" t="str">
        <x:f t="shared" si="1"/>
      </x:c>
      <x:c r="C26" s="30" t="str">
        <x:f t="shared" si="2"/>
      </x:c>
      <x:c r="D26" s="30" t="str">
        <x:f t="shared" si="3"/>
      </x:c>
      <x:c r="E26" s="31"/>
      <x:c r="F26" s="32"/>
      <x:c r="G26" s="33"/>
      <x:c r="H26" s="33"/>
      <x:c r="I26" s="33"/>
      <x:c r="J26" s="33"/>
      <x:c r="K26" s="33"/>
      <x:c r="L26" s="33"/>
      <x:c r="M26" s="36"/>
      <x:c r="N26" s="62"/>
      <x:c r="O26" s="30" t="str">
        <x:f t="shared" si="4"/>
      </x:c>
      <x:c r="P26" s="30" t="str">
        <x:f t="shared" si="5"/>
      </x:c>
      <x:c r="Q26" s="30" t="str">
        <x:f t="shared" si="6"/>
      </x:c>
      <x:c r="R26" s="30" t="str">
        <x:f t="shared" si="7"/>
      </x:c>
    </x:row>
    <x:row r="27" ht="16.5">
      <x:c r="A27" s="26" t="str">
        <x:f t="shared" si="0"/>
      </x:c>
      <x:c r="B27" s="26" t="str">
        <x:f t="shared" si="1"/>
      </x:c>
      <x:c r="C27" s="26" t="str">
        <x:f t="shared" si="2"/>
      </x:c>
      <x:c r="D27" s="26" t="str">
        <x:f t="shared" si="3"/>
      </x:c>
      <x:c r="E27" s="73"/>
      <x:c r="F27" s="37"/>
      <x:c r="G27" s="38"/>
      <x:c r="H27" s="38"/>
      <x:c r="I27" s="38"/>
      <x:c r="J27" s="38"/>
      <x:c r="K27" s="63"/>
      <x:c r="L27" s="38"/>
      <x:c r="M27" s="63"/>
      <x:c r="N27" s="74"/>
      <x:c r="O27" s="26" t="str">
        <x:f t="shared" si="4"/>
      </x:c>
      <x:c r="P27" s="26" t="str">
        <x:f t="shared" si="5"/>
      </x:c>
      <x:c r="Q27" s="26" t="str">
        <x:f t="shared" si="6"/>
      </x:c>
      <x:c r="R27" s="26" t="str">
        <x:f t="shared" si="7"/>
      </x:c>
    </x:row>
    <x:row r="28" ht="16.5">
      <x:c r="A28" s="30" t="str">
        <x:f t="shared" si="0"/>
      </x:c>
      <x:c r="B28" s="30" t="str">
        <x:f t="shared" si="1"/>
      </x:c>
      <x:c r="C28" s="30" t="str">
        <x:f t="shared" si="2"/>
      </x:c>
      <x:c r="D28" s="30" t="str">
        <x:f t="shared" si="3"/>
      </x:c>
      <x:c r="E28" s="31"/>
      <x:c r="F28" s="32"/>
      <x:c r="G28" s="33"/>
      <x:c r="H28" s="33"/>
      <x:c r="I28" s="33"/>
      <x:c r="J28" s="33"/>
      <x:c r="K28" s="33"/>
      <x:c r="L28" s="33"/>
      <x:c r="M28" s="36"/>
      <x:c r="N28" s="62"/>
      <x:c r="O28" s="30" t="str">
        <x:f t="shared" si="4"/>
      </x:c>
      <x:c r="P28" s="30" t="str">
        <x:f t="shared" si="5"/>
      </x:c>
      <x:c r="Q28" s="30" t="str">
        <x:f t="shared" si="6"/>
      </x:c>
      <x:c r="R28" s="30" t="str">
        <x:f t="shared" si="7"/>
      </x:c>
    </x:row>
    <x:row r="29" ht="16.5">
      <x:c r="A29" s="26" t="str">
        <x:f t="shared" si="0"/>
      </x:c>
      <x:c r="B29" s="26" t="str">
        <x:f t="shared" si="1"/>
      </x:c>
      <x:c r="C29" s="26" t="str">
        <x:f t="shared" si="2"/>
      </x:c>
      <x:c r="D29" s="26" t="str">
        <x:f t="shared" si="3"/>
      </x:c>
      <x:c r="E29" s="73"/>
      <x:c r="F29" s="37"/>
      <x:c r="G29" s="38"/>
      <x:c r="H29" s="38"/>
      <x:c r="I29" s="38"/>
      <x:c r="J29" s="38"/>
      <x:c r="K29" s="63"/>
      <x:c r="L29" s="38"/>
      <x:c r="M29" s="63"/>
      <x:c r="N29" s="74"/>
      <x:c r="O29" s="26" t="str">
        <x:f t="shared" si="4"/>
      </x:c>
      <x:c r="P29" s="26" t="str">
        <x:f t="shared" si="5"/>
      </x:c>
      <x:c r="Q29" s="26" t="str">
        <x:f t="shared" si="6"/>
      </x:c>
      <x:c r="R29" s="26" t="str">
        <x:f t="shared" si="7"/>
      </x:c>
    </x:row>
    <x:row r="30" ht="16.5">
      <x:c r="A30" s="30" t="str">
        <x:f t="shared" si="0"/>
      </x:c>
      <x:c r="B30" s="30" t="str">
        <x:f t="shared" si="1"/>
      </x:c>
      <x:c r="C30" s="30" t="str">
        <x:f t="shared" si="2"/>
      </x:c>
      <x:c r="D30" s="30" t="str">
        <x:f t="shared" si="3"/>
      </x:c>
      <x:c r="E30" s="31"/>
      <x:c r="F30" s="32"/>
      <x:c r="G30" s="33"/>
      <x:c r="H30" s="33"/>
      <x:c r="I30" s="33"/>
      <x:c r="J30" s="33"/>
      <x:c r="K30" s="33"/>
      <x:c r="L30" s="33"/>
      <x:c r="M30" s="36"/>
      <x:c r="N30" s="62"/>
      <x:c r="O30" s="30" t="str">
        <x:f t="shared" si="4"/>
      </x:c>
      <x:c r="P30" s="30" t="str">
        <x:f t="shared" si="5"/>
      </x:c>
      <x:c r="Q30" s="30" t="str">
        <x:f t="shared" si="6"/>
      </x:c>
      <x:c r="R30" s="30" t="str">
        <x:f t="shared" si="7"/>
      </x:c>
    </x:row>
    <x:row r="31" ht="16.5">
      <x:c r="A31" s="26" t="str">
        <x:f t="shared" si="0"/>
      </x:c>
      <x:c r="B31" s="26" t="str">
        <x:f t="shared" si="1"/>
      </x:c>
      <x:c r="C31" s="26" t="str">
        <x:f t="shared" si="2"/>
      </x:c>
      <x:c r="D31" s="26" t="str">
        <x:f t="shared" si="3"/>
      </x:c>
      <x:c r="E31" s="73"/>
      <x:c r="F31" s="37"/>
      <x:c r="G31" s="38"/>
      <x:c r="H31" s="38"/>
      <x:c r="I31" s="38"/>
      <x:c r="J31" s="38"/>
      <x:c r="K31" s="63"/>
      <x:c r="L31" s="38"/>
      <x:c r="M31" s="63"/>
      <x:c r="N31" s="74"/>
      <x:c r="O31" s="26" t="str">
        <x:f t="shared" si="4"/>
      </x:c>
      <x:c r="P31" s="26" t="str">
        <x:f t="shared" si="5"/>
      </x:c>
      <x:c r="Q31" s="26" t="str">
        <x:f t="shared" si="6"/>
      </x:c>
      <x:c r="R31" s="26" t="str">
        <x:f t="shared" si="7"/>
      </x:c>
    </x:row>
    <x:row r="32" ht="16.5">
      <x:c r="F32" s="86"/>
      <x:c r="G32" s="86"/>
      <x:c r="H32" s="86"/>
      <x:c r="I32" s="86"/>
      <x:c r="J32" s="86"/>
      <x:c r="K32" s="86"/>
      <x:c r="L32" s="86"/>
      <x:c r="M32" s="86"/>
    </x:row>
  </x:sheetData>
  <x:mergeCells>
    <x:mergeCell ref="A1:E1"/>
    <x:mergeCell ref="F1:M1"/>
    <x:mergeCell ref="N1:R1"/>
    <x:mergeCell ref="F32:M32"/>
  </x:mergeCells>
  <x:conditionalFormatting sqref="O32:R1048576">
    <x:cfRule type="containsText" dxfId="15" priority="18" operator="containsText" text="1">
      <x:formula>NOT(ISERROR(SEARCH("1",O32)))</x:formula>
    </x:cfRule>
  </x:conditionalFormatting>
  <x:conditionalFormatting sqref="F3:M4">
    <x:cfRule type="cellIs" dxfId="14" priority="5" operator="equal">
      <x:formula>1</x:formula>
    </x:cfRule>
    <x:cfRule type="notContainsBlanks" dxfId="13" priority="6">
      <x:formula>LEN(TRIM(F3))&gt;0</x:formula>
    </x:cfRule>
  </x:conditionalFormatting>
  <x:conditionalFormatting sqref="F5:M14">
    <x:cfRule type="cellIs" dxfId="12" priority="3" operator="equal">
      <x:formula>1</x:formula>
    </x:cfRule>
    <x:cfRule type="notContainsBlanks" dxfId="11" priority="4">
      <x:formula>LEN(TRIM(F5))&gt;0</x:formula>
    </x:cfRule>
  </x:conditionalFormatting>
  <x:conditionalFormatting sqref="F15:M31">
    <x:cfRule type="cellIs" dxfId="10" priority="1" operator="equal">
      <x:formula>1</x:formula>
    </x:cfRule>
    <x:cfRule type="notContainsBlanks" dxfId="9" priority="2">
      <x:formula>LEN(TRIM(F15))&gt;0</x:formula>
    </x:cfRule>
  </x:conditionalFormatting>
  <x:dataValidations count="8">
    <x:dataValidation allowBlank="1" showInputMessage="1" showErrorMessage="1" promptTitle="状态机现态二进制" prompt="状态机现态二进制表示，由前列计算得到" sqref="A1 A32:C1048576"/>
    <x: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:F1048576 G33:M1048576"/>
    <x:dataValidation allowBlank="1" showInputMessage="1" showErrorMessage="1" promptTitle="状态机现态" prompt="状态机现态" sqref="D32:D1048576"/>
    <x:dataValidation allowBlank="1" showInputMessage="1" showErrorMessage="1" promptTitle="现态10进制" prompt="现态10进制，方便大家输入，输入十进制后会自动计算二进制S3S2S1S0" sqref="E2:E31"/>
    <x:dataValidation allowBlank="1" showInputMessage="1" showErrorMessage="1" promptTitle="次态输出" prompt="次态二进制表示，由前列10进制自动计算，不可修改" sqref="O2:R1048576"/>
    <x:dataValidation allowBlank="1" showInputMessage="1" showErrorMessage="1" promptTitle="次态10进制" prompt="次态10进制，方便大家输入，输入十进制后会自动计算二进制N3N2N1N0" sqref="N1:N1048576"/>
    <x: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F1:M31"/>
    <x:dataValidation allowBlank="1" showInputMessage="1" showErrorMessage="1" promptTitle="现态二进制" prompt="由现态十进制列自动计算得到，无需修改" sqref="A2:D31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30A0"/>
  </x:sheetPr>
  <x:sheetFormatPr defaultColWidth="9" defaultRowHeight="14"/>
  <x:cols>
    <x:col min="1" max="10" width="4.58203125" customWidth="1"/>
    <x:col min="11" max="12" width="4.58203125" hidden="1" customWidth="1"/>
    <x:col min="13" max="13" width="18.5" style="40" customWidth="1"/>
    <x:col min="14" max="14" width="10.5" style="40" customWidth="1"/>
    <x:col min="15" max="15" width="9.5" style="40" customWidth="1"/>
    <x:col min="16" max="16" width="10.08203125" style="40" customWidth="1"/>
    <x:col min="17" max="17" width="11.08203125" style="40" customWidth="1"/>
  </x:cols>
  <x:sheetData>
    <x:row r="1" s="39" customFormat="1" ht="15.5">
      <x:c r="A1" s="41" t="e">
        <x:f>状态转换表!A2</x:f>
      </x:c>
      <x:c r="B1" s="41" t="e">
        <x:f>状态转换表!B2</x:f>
      </x:c>
      <x:c r="C1" s="41" t="e">
        <x:f>状态转换表!C2</x:f>
      </x:c>
      <x:c r="D1" s="42" t="e">
        <x:f>状态转换表!D2</x:f>
      </x:c>
      <x:c r="E1" s="43" t="e">
        <x:f>状态转换表!F2</x:f>
      </x:c>
      <x:c r="F1" s="41" t="e">
        <x:f>状态转换表!G2</x:f>
      </x:c>
      <x:c r="G1" s="41" t="e">
        <x:f>状态转换表!H2</x:f>
      </x:c>
      <x:c r="H1" s="41" t="e">
        <x:f>状态转换表!I2</x:f>
      </x:c>
      <x:c r="I1" s="41" t="e">
        <x:f>状态转换表!J2</x:f>
      </x:c>
      <x:c r="J1" s="41" t="e">
        <x:f>状态转换表!K2</x:f>
      </x:c>
      <x:c r="K1" s="41" t="e">
        <x:f>状态转换表!L2</x:f>
      </x:c>
      <x:c r="L1" s="54" t="e">
        <x:f>状态转换表!M2</x:f>
      </x:c>
      <x:c r="M1" s="55" t="s">
        <x:v>19</x:v>
      </x:c>
      <x:c r="N1" s="56" t="e">
        <x:f>状态转换表!O2</x:f>
      </x:c>
      <x:c r="O1" s="56" t="e">
        <x:f>状态转换表!P2</x:f>
      </x:c>
      <x:c r="P1" s="56" t="e">
        <x:f>状态转换表!Q2</x:f>
      </x:c>
      <x:c r="Q1" s="56" t="e">
        <x:f>状态转换表!R2</x:f>
      </x:c>
    </x:row>
    <x:row r="2">
      <x:c r="A2" s="44" t="e">
        <x:f>IF(状态转换表!A3=1,状态转换表!A$2&amp;"&amp;",IF(状态转换表!A3=0,"~"&amp;状态转换表!A$2&amp;"&amp;",""))</x:f>
      </x:c>
      <x:c r="B2" s="44" t="e">
        <x:f>IF(状态转换表!B3=1,状态转换表!B$2&amp;"&amp;",IF(状态转换表!B3=0,"~"&amp;状态转换表!B$2&amp;"&amp;",""))</x:f>
      </x:c>
      <x:c r="C2" s="44" t="e">
        <x:f>IF(状态转换表!C3=1,状态转换表!C$2&amp;"&amp;",IF(状态转换表!C3=0,"~"&amp;状态转换表!C$2&amp;"&amp;",""))</x:f>
      </x:c>
      <x:c r="D2" s="45" t="e">
        <x:f>IF(状态转换表!D3=1,状态转换表!D$2&amp;"&amp;",IF(状态转换表!D3=0,"~"&amp;状态转换表!D$2&amp;"&amp;",""))</x:f>
      </x:c>
      <x:c r="E2" s="46" t="e">
        <x:f>IF(状态转换表!F3&lt;&gt;"",IF(状态转换表!F3=1,状态转换表!F$2&amp;"&amp;",IF(状态转换表!F3=0,"~"&amp;状态转换表!F$2&amp;"&amp;","")),"")</x:f>
      </x:c>
      <x:c r="F2" s="47" t="e">
        <x:f>IF(状态转换表!G3&lt;&gt;"",IF(状态转换表!G3=1,状态转换表!G$2&amp;"&amp;",IF(状态转换表!G3=0,"~"&amp;状态转换表!G$2&amp;"&amp;","")),"")</x:f>
      </x:c>
      <x:c r="G2" s="47" t="e">
        <x:f>IF(状态转换表!H3&lt;&gt;"",IF(状态转换表!H3=1,状态转换表!H$2&amp;"&amp;",IF(状态转换表!H3=0,"~"&amp;状态转换表!H$2&amp;"&amp;","")),"")</x:f>
      </x:c>
      <x:c r="H2" s="47" t="e">
        <x:f>IF(状态转换表!I3&lt;&gt;"",IF(状态转换表!I3=1,状态转换表!I$2&amp;"&amp;",IF(状态转换表!I3=0,"~"&amp;状态转换表!I$2&amp;"&amp;","")),"")</x:f>
      </x:c>
      <x:c r="I2" s="47" t="e">
        <x:f>IF(状态转换表!J3&lt;&gt;"",IF(状态转换表!J3=1,状态转换表!J$2&amp;"&amp;",IF(状态转换表!J3=0,"~"&amp;状态转换表!J$2&amp;"&amp;","")),"")</x:f>
      </x:c>
      <x:c r="J2" s="47" t="e">
        <x:f>IF(状态转换表!K3&lt;&gt;"",IF(状态转换表!K3=1,状态转换表!K$2&amp;"&amp;",IF(状态转换表!K3=0,"~"&amp;状态转换表!K$2&amp;"&amp;","")),"")</x:f>
      </x:c>
      <x:c r="K2" s="47" t="e">
        <x:f>IF(状态转换表!L3&lt;&gt;"",IF(状态转换表!L3=1,状态转换表!L$2&amp;"&amp;",IF(状态转换表!L3=0,"~"&amp;状态转换表!L$2&amp;"&amp;","")),"")</x:f>
      </x:c>
      <x:c r="L2" s="57" t="e">
        <x:f>IF(状态转换表!M3&lt;&gt;"",IF(状态转换表!M3=1,状态转换表!M$2&amp;"&amp;",IF(状态转换表!M3=0,"~"&amp;状态转换表!M$2&amp;"&amp;","")),"")</x:f>
      </x:c>
      <x:c r="M2" s="58" t="e">
        <x:f>IF(LEN(CONCATENATE(A2,B2,C2,D2,E2,F2,G2,H2,I2,J2,K2,L2))=0,"",LEFT(CONCATENATE(A2,B2,C2,D2,E2,F2,G2,H2,I2,J2,K2,L2),LEN(CONCATENATE(A2,B2,C2,D2,E2,F2,G2,H2,I2,J2,K2,L2))-1))</x:f>
      </x:c>
      <x:c r="N2" s="16" t="e">
        <x:f>IF(状态转换表!O3=1,$M2&amp;"+","")</x:f>
      </x:c>
      <x:c r="O2" s="16" t="e">
        <x:f>IF(状态转换表!P3=1,$M2&amp;"+","")</x:f>
      </x:c>
      <x:c r="P2" s="16" t="e">
        <x:f>IF(状态转换表!Q3=1,$M2&amp;"+","")</x:f>
      </x:c>
      <x:c r="Q2" s="16" t="e">
        <x:f>IF(状态转换表!R3=1,$M2&amp;"+","")</x:f>
      </x:c>
    </x:row>
    <x:row r="3">
      <x:c r="A3" s="44" t="e">
        <x:f>IF(状态转换表!A4=1,状态转换表!A$2&amp;"&amp;",IF(状态转换表!A4=0,"~"&amp;状态转换表!A$2&amp;"&amp;",""))</x:f>
      </x:c>
      <x:c r="B3" s="48" t="e">
        <x:f>IF(状态转换表!B4=1,状态转换表!B$2&amp;"&amp;",IF(状态转换表!B4=0,"~"&amp;状态转换表!B$2&amp;"&amp;",""))</x:f>
      </x:c>
      <x:c r="C3" s="48" t="e">
        <x:f>IF(状态转换表!C4=1,状态转换表!C$2&amp;"&amp;",IF(状态转换表!C4=0,"~"&amp;状态转换表!C$2&amp;"&amp;",""))</x:f>
      </x:c>
      <x:c r="D3" s="49" t="e">
        <x:f>IF(状态转换表!D4=1,状态转换表!D$2&amp;"&amp;",IF(状态转换表!D4=0,"~"&amp;状态转换表!D$2&amp;"&amp;",""))</x:f>
      </x:c>
      <x:c r="E3" s="50" t="e">
        <x:f>IF(状态转换表!F4&lt;&gt;"",IF(状态转换表!F4=1,状态转换表!F$2&amp;"&amp;",IF(状态转换表!F4=0,"~"&amp;状态转换表!F$2&amp;"&amp;","")),"")</x:f>
      </x:c>
      <x:c r="F3" s="48" t="e">
        <x:f>IF(状态转换表!G4&lt;&gt;"",IF(状态转换表!G4=1,状态转换表!G$2&amp;"&amp;",IF(状态转换表!G4=0,"~"&amp;状态转换表!G$2&amp;"&amp;","")),"")</x:f>
      </x:c>
      <x:c r="G3" s="48" t="e">
        <x:f>IF(状态转换表!H4&lt;&gt;"",IF(状态转换表!H4=1,状态转换表!H$2&amp;"&amp;",IF(状态转换表!H4=0,"~"&amp;状态转换表!H$2&amp;"&amp;","")),"")</x:f>
      </x:c>
      <x:c r="H3" s="48" t="e">
        <x:f>IF(状态转换表!I4&lt;&gt;"",IF(状态转换表!I4=1,状态转换表!I$2&amp;"&amp;",IF(状态转换表!I4=0,"~"&amp;状态转换表!I$2&amp;"&amp;","")),"")</x:f>
      </x:c>
      <x:c r="I3" s="48" t="e">
        <x:f>IF(状态转换表!J4&lt;&gt;"",IF(状态转换表!J4=1,状态转换表!J$2&amp;"&amp;",IF(状态转换表!J4=0,"~"&amp;状态转换表!J$2&amp;"&amp;","")),"")</x:f>
      </x:c>
      <x:c r="J3" s="48" t="e">
        <x:f>IF(状态转换表!K4&lt;&gt;"",IF(状态转换表!K4=1,状态转换表!K$2&amp;"&amp;",IF(状态转换表!K4=0,"~"&amp;状态转换表!K$2&amp;"&amp;","")),"")</x:f>
      </x:c>
      <x:c r="K3" s="48" t="e">
        <x:f>IF(状态转换表!L4&lt;&gt;"",IF(状态转换表!L4=1,状态转换表!L$2&amp;"&amp;",IF(状态转换表!L4=0,"~"&amp;状态转换表!L$2&amp;"&amp;","")),"")</x:f>
      </x:c>
      <x:c r="L3" s="59" t="e">
        <x:f>IF(状态转换表!M4&lt;&gt;"",IF(状态转换表!M4=1,状态转换表!M$2&amp;"&amp;",IF(状态转换表!M4=0,"~"&amp;状态转换表!M$2&amp;"&amp;","")),"")</x:f>
      </x:c>
      <x:c r="M3" s="58" t="e">
        <x:f t="shared" ref="M3:M30" si="0">IF(LEN(CONCATENATE(A3,B3,C3,D3,E3,F3,G3,H3,I3,J3,K3,L3))=0,"",LEFT(CONCATENATE(A3,B3,C3,D3,E3,F3,G3,H3,I3,J3,K3,L3),LEN(CONCATENATE(A3,B3,C3,D3,E3,F3,G3,H3,I3,J3,K3,L3))-1))</x:f>
      </x:c>
      <x:c r="N3" s="17" t="e">
        <x:f>IF(状态转换表!O4=1,$M3&amp;"+","")</x:f>
      </x:c>
      <x:c r="O3" s="17" t="e">
        <x:f>IF(状态转换表!P4=1,$M3&amp;"+","")</x:f>
      </x:c>
      <x:c r="P3" s="17" t="e">
        <x:f>IF(状态转换表!Q4=1,$M3&amp;"+","")</x:f>
      </x:c>
      <x:c r="Q3" s="17" t="e">
        <x:f>IF(状态转换表!R4=1,$M3&amp;"+","")</x:f>
      </x:c>
    </x:row>
    <x:row r="4">
      <x:c r="A4" s="44" t="e">
        <x:f>IF(状态转换表!A5=1,状态转换表!A$2&amp;"&amp;",IF(状态转换表!A5=0,"~"&amp;状态转换表!A$2&amp;"&amp;",""))</x:f>
      </x:c>
      <x:c r="B4" s="48" t="e">
        <x:f>IF(状态转换表!B5=1,状态转换表!B$2&amp;"&amp;",IF(状态转换表!B5=0,"~"&amp;状态转换表!B$2&amp;"&amp;",""))</x:f>
      </x:c>
      <x:c r="C4" s="48" t="e">
        <x:f>IF(状态转换表!C5=1,状态转换表!C$2&amp;"&amp;",IF(状态转换表!C5=0,"~"&amp;状态转换表!C$2&amp;"&amp;",""))</x:f>
      </x:c>
      <x:c r="D4" s="49" t="e">
        <x:f>IF(状态转换表!D5=1,状态转换表!D$2&amp;"&amp;",IF(状态转换表!D5=0,"~"&amp;状态转换表!D$2&amp;"&amp;",""))</x:f>
      </x:c>
      <x:c r="E4" s="50" t="e">
        <x:f>IF(状态转换表!F5&lt;&gt;"",IF(状态转换表!F5=1,状态转换表!F$2&amp;"&amp;",IF(状态转换表!F5=0,"~"&amp;状态转换表!F$2&amp;"&amp;","")),"")</x:f>
      </x:c>
      <x:c r="F4" s="48" t="e">
        <x:f>IF(状态转换表!G5&lt;&gt;"",IF(状态转换表!G5=1,状态转换表!G$2&amp;"&amp;",IF(状态转换表!G5=0,"~"&amp;状态转换表!G$2&amp;"&amp;","")),"")</x:f>
      </x:c>
      <x:c r="G4" s="48" t="e">
        <x:f>IF(状态转换表!H5&lt;&gt;"",IF(状态转换表!H5=1,状态转换表!H$2&amp;"&amp;",IF(状态转换表!H5=0,"~"&amp;状态转换表!H$2&amp;"&amp;","")),"")</x:f>
      </x:c>
      <x:c r="H4" s="48" t="e">
        <x:f>IF(状态转换表!I5&lt;&gt;"",IF(状态转换表!I5=1,状态转换表!I$2&amp;"&amp;",IF(状态转换表!I5=0,"~"&amp;状态转换表!I$2&amp;"&amp;","")),"")</x:f>
      </x:c>
      <x:c r="I4" s="48" t="e">
        <x:f>IF(状态转换表!J5&lt;&gt;"",IF(状态转换表!J5=1,状态转换表!J$2&amp;"&amp;",IF(状态转换表!J5=0,"~"&amp;状态转换表!J$2&amp;"&amp;","")),"")</x:f>
      </x:c>
      <x:c r="J4" s="48" t="e">
        <x:f>IF(状态转换表!K5&lt;&gt;"",IF(状态转换表!K5=1,状态转换表!K$2&amp;"&amp;",IF(状态转换表!K5=0,"~"&amp;状态转换表!K$2&amp;"&amp;","")),"")</x:f>
      </x:c>
      <x:c r="K4" s="48" t="e">
        <x:f>IF(状态转换表!L5&lt;&gt;"",IF(状态转换表!L5=1,状态转换表!L$2&amp;"&amp;",IF(状态转换表!L5=0,"~"&amp;状态转换表!L$2&amp;"&amp;","")),"")</x:f>
      </x:c>
      <x:c r="L4" s="59" t="e">
        <x:f>IF(状态转换表!M5&lt;&gt;"",IF(状态转换表!M5=1,状态转换表!M$2&amp;"&amp;",IF(状态转换表!M5=0,"~"&amp;状态转换表!M$2&amp;"&amp;","")),"")</x:f>
      </x:c>
      <x:c r="M4" s="58" t="str">
        <x:f t="shared" si="0"/>
      </x:c>
      <x:c r="N4" s="17" t="e">
        <x:f>IF(状态转换表!O5=1,$M4&amp;"+","")</x:f>
      </x:c>
      <x:c r="O4" s="17" t="e">
        <x:f>IF(状态转换表!P5=1,$M4&amp;"+","")</x:f>
      </x:c>
      <x:c r="P4" s="17" t="e">
        <x:f>IF(状态转换表!Q5=1,$M4&amp;"+","")</x:f>
      </x:c>
      <x:c r="Q4" s="17" t="e">
        <x:f>IF(状态转换表!R5=1,$M4&amp;"+","")</x:f>
      </x:c>
    </x:row>
    <x:row r="5">
      <x:c r="A5" s="44" t="e">
        <x:f>IF(状态转换表!A6=1,状态转换表!A$2&amp;"&amp;",IF(状态转换表!A6=0,"~"&amp;状态转换表!A$2&amp;"&amp;",""))</x:f>
      </x:c>
      <x:c r="B5" s="48" t="e">
        <x:f>IF(状态转换表!B6=1,状态转换表!B$2&amp;"&amp;",IF(状态转换表!B6=0,"~"&amp;状态转换表!B$2&amp;"&amp;",""))</x:f>
      </x:c>
      <x:c r="C5" s="48" t="e">
        <x:f>IF(状态转换表!C6=1,状态转换表!C$2&amp;"&amp;",IF(状态转换表!C6=0,"~"&amp;状态转换表!C$2&amp;"&amp;",""))</x:f>
      </x:c>
      <x:c r="D5" s="49" t="e">
        <x:f>IF(状态转换表!D6=1,状态转换表!D$2&amp;"&amp;",IF(状态转换表!D6=0,"~"&amp;状态转换表!D$2&amp;"&amp;",""))</x:f>
      </x:c>
      <x:c r="E5" s="50" t="e">
        <x:f>IF(状态转换表!F6&lt;&gt;"",IF(状态转换表!F6=1,状态转换表!F$2&amp;"&amp;",IF(状态转换表!F6=0,"~"&amp;状态转换表!F$2&amp;"&amp;","")),"")</x:f>
      </x:c>
      <x:c r="F5" s="48" t="e">
        <x:f>IF(状态转换表!G6&lt;&gt;"",IF(状态转换表!G6=1,状态转换表!G$2&amp;"&amp;",IF(状态转换表!G6=0,"~"&amp;状态转换表!G$2&amp;"&amp;","")),"")</x:f>
      </x:c>
      <x:c r="G5" s="48" t="e">
        <x:f>IF(状态转换表!H6&lt;&gt;"",IF(状态转换表!H6=1,状态转换表!H$2&amp;"&amp;",IF(状态转换表!H6=0,"~"&amp;状态转换表!H$2&amp;"&amp;","")),"")</x:f>
      </x:c>
      <x:c r="H5" s="48" t="e">
        <x:f>IF(状态转换表!I6&lt;&gt;"",IF(状态转换表!I6=1,状态转换表!I$2&amp;"&amp;",IF(状态转换表!I6=0,"~"&amp;状态转换表!I$2&amp;"&amp;","")),"")</x:f>
      </x:c>
      <x:c r="I5" s="48" t="e">
        <x:f>IF(状态转换表!J6&lt;&gt;"",IF(状态转换表!J6=1,状态转换表!J$2&amp;"&amp;",IF(状态转换表!J6=0,"~"&amp;状态转换表!J$2&amp;"&amp;","")),"")</x:f>
      </x:c>
      <x:c r="J5" s="48" t="e">
        <x:f>IF(状态转换表!K6&lt;&gt;"",IF(状态转换表!K6=1,状态转换表!K$2&amp;"&amp;",IF(状态转换表!K6=0,"~"&amp;状态转换表!K$2&amp;"&amp;","")),"")</x:f>
      </x:c>
      <x:c r="K5" s="48" t="e">
        <x:f>IF(状态转换表!L6&lt;&gt;"",IF(状态转换表!L6=1,状态转换表!L$2&amp;"&amp;",IF(状态转换表!L6=0,"~"&amp;状态转换表!L$2&amp;"&amp;","")),"")</x:f>
      </x:c>
      <x:c r="L5" s="59" t="e">
        <x:f>IF(状态转换表!M6&lt;&gt;"",IF(状态转换表!M6=1,状态转换表!M$2&amp;"&amp;",IF(状态转换表!M6=0,"~"&amp;状态转换表!M$2&amp;"&amp;","")),"")</x:f>
      </x:c>
      <x:c r="M5" s="58" t="str">
        <x:f t="shared" si="0"/>
      </x:c>
      <x:c r="N5" s="17" t="e">
        <x:f>IF(状态转换表!O6=1,$M5&amp;"+","")</x:f>
      </x:c>
      <x:c r="O5" s="17" t="e">
        <x:f>IF(状态转换表!P6=1,$M5&amp;"+","")</x:f>
      </x:c>
      <x:c r="P5" s="17" t="e">
        <x:f>IF(状态转换表!Q6=1,$M5&amp;"+","")</x:f>
      </x:c>
      <x:c r="Q5" s="17" t="e">
        <x:f>IF(状态转换表!R6=1,$M5&amp;"+","")</x:f>
      </x:c>
    </x:row>
    <x:row r="6">
      <x:c r="A6" s="44" t="e">
        <x:f>IF(状态转换表!A7=1,状态转换表!A$2&amp;"&amp;",IF(状态转换表!A7=0,"~"&amp;状态转换表!A$2&amp;"&amp;",""))</x:f>
      </x:c>
      <x:c r="B6" s="48" t="e">
        <x:f>IF(状态转换表!B7=1,状态转换表!B$2&amp;"&amp;",IF(状态转换表!B7=0,"~"&amp;状态转换表!B$2&amp;"&amp;",""))</x:f>
      </x:c>
      <x:c r="C6" s="48" t="e">
        <x:f>IF(状态转换表!C7=1,状态转换表!C$2&amp;"&amp;",IF(状态转换表!C7=0,"~"&amp;状态转换表!C$2&amp;"&amp;",""))</x:f>
      </x:c>
      <x:c r="D6" s="49" t="e">
        <x:f>IF(状态转换表!D7=1,状态转换表!D$2&amp;"&amp;",IF(状态转换表!D7=0,"~"&amp;状态转换表!D$2&amp;"&amp;",""))</x:f>
      </x:c>
      <x:c r="E6" s="50" t="e">
        <x:f>IF(状态转换表!F7&lt;&gt;"",IF(状态转换表!F7=1,状态转换表!F$2&amp;"&amp;",IF(状态转换表!F7=0,"~"&amp;状态转换表!F$2&amp;"&amp;","")),"")</x:f>
      </x:c>
      <x:c r="F6" s="48" t="e">
        <x:f>IF(状态转换表!G7&lt;&gt;"",IF(状态转换表!G7=1,状态转换表!G$2&amp;"&amp;",IF(状态转换表!G7=0,"~"&amp;状态转换表!G$2&amp;"&amp;","")),"")</x:f>
      </x:c>
      <x:c r="G6" s="48" t="e">
        <x:f>IF(状态转换表!H7&lt;&gt;"",IF(状态转换表!H7=1,状态转换表!H$2&amp;"&amp;",IF(状态转换表!H7=0,"~"&amp;状态转换表!H$2&amp;"&amp;","")),"")</x:f>
      </x:c>
      <x:c r="H6" s="48" t="e">
        <x:f>IF(状态转换表!I7&lt;&gt;"",IF(状态转换表!I7=1,状态转换表!I$2&amp;"&amp;",IF(状态转换表!I7=0,"~"&amp;状态转换表!I$2&amp;"&amp;","")),"")</x:f>
      </x:c>
      <x:c r="I6" s="48" t="e">
        <x:f>IF(状态转换表!J7&lt;&gt;"",IF(状态转换表!J7=1,状态转换表!J$2&amp;"&amp;",IF(状态转换表!J7=0,"~"&amp;状态转换表!J$2&amp;"&amp;","")),"")</x:f>
      </x:c>
      <x:c r="J6" s="48" t="e">
        <x:f>IF(状态转换表!K7&lt;&gt;"",IF(状态转换表!K7=1,状态转换表!K$2&amp;"&amp;",IF(状态转换表!K7=0,"~"&amp;状态转换表!K$2&amp;"&amp;","")),"")</x:f>
      </x:c>
      <x:c r="K6" s="48" t="e">
        <x:f>IF(状态转换表!L7&lt;&gt;"",IF(状态转换表!L7=1,状态转换表!L$2&amp;"&amp;",IF(状态转换表!L7=0,"~"&amp;状态转换表!L$2&amp;"&amp;","")),"")</x:f>
      </x:c>
      <x:c r="L6" s="59" t="e">
        <x:f>IF(状态转换表!M7&lt;&gt;"",IF(状态转换表!M7=1,状态转换表!M$2&amp;"&amp;",IF(状态转换表!M7=0,"~"&amp;状态转换表!M$2&amp;"&amp;","")),"")</x:f>
      </x:c>
      <x:c r="M6" s="58" t="str">
        <x:f t="shared" si="0"/>
      </x:c>
      <x:c r="N6" s="17" t="e">
        <x:f>IF(状态转换表!O7=1,$M6&amp;"+","")</x:f>
      </x:c>
      <x:c r="O6" s="17" t="e">
        <x:f>IF(状态转换表!P7=1,$M6&amp;"+","")</x:f>
      </x:c>
      <x:c r="P6" s="17" t="e">
        <x:f>IF(状态转换表!Q7=1,$M6&amp;"+","")</x:f>
      </x:c>
      <x:c r="Q6" s="17" t="e">
        <x:f>IF(状态转换表!R7=1,$M6&amp;"+","")</x:f>
      </x:c>
    </x:row>
    <x:row r="7">
      <x:c r="A7" s="44" t="e">
        <x:f>IF(状态转换表!A8=1,状态转换表!A$2&amp;"&amp;",IF(状态转换表!A8=0,"~"&amp;状态转换表!A$2&amp;"&amp;",""))</x:f>
      </x:c>
      <x:c r="B7" s="48" t="e">
        <x:f>IF(状态转换表!B8=1,状态转换表!B$2&amp;"&amp;",IF(状态转换表!B8=0,"~"&amp;状态转换表!B$2&amp;"&amp;",""))</x:f>
      </x:c>
      <x:c r="C7" s="48" t="e">
        <x:f>IF(状态转换表!C8=1,状态转换表!C$2&amp;"&amp;",IF(状态转换表!C8=0,"~"&amp;状态转换表!C$2&amp;"&amp;",""))</x:f>
      </x:c>
      <x:c r="D7" s="49" t="e">
        <x:f>IF(状态转换表!D8=1,状态转换表!D$2&amp;"&amp;",IF(状态转换表!D8=0,"~"&amp;状态转换表!D$2&amp;"&amp;",""))</x:f>
      </x:c>
      <x:c r="E7" s="50" t="e">
        <x:f>IF(状态转换表!F8&lt;&gt;"",IF(状态转换表!F8=1,状态转换表!F$2&amp;"&amp;",IF(状态转换表!F8=0,"~"&amp;状态转换表!F$2&amp;"&amp;","")),"")</x:f>
      </x:c>
      <x:c r="F7" s="48" t="e">
        <x:f>IF(状态转换表!G8&lt;&gt;"",IF(状态转换表!G8=1,状态转换表!G$2&amp;"&amp;",IF(状态转换表!G8=0,"~"&amp;状态转换表!G$2&amp;"&amp;","")),"")</x:f>
      </x:c>
      <x:c r="G7" s="48" t="e">
        <x:f>IF(状态转换表!H8&lt;&gt;"",IF(状态转换表!H8=1,状态转换表!H$2&amp;"&amp;",IF(状态转换表!H8=0,"~"&amp;状态转换表!H$2&amp;"&amp;","")),"")</x:f>
      </x:c>
      <x:c r="H7" s="48" t="e">
        <x:f>IF(状态转换表!I8&lt;&gt;"",IF(状态转换表!I8=1,状态转换表!I$2&amp;"&amp;",IF(状态转换表!I8=0,"~"&amp;状态转换表!I$2&amp;"&amp;","")),"")</x:f>
      </x:c>
      <x:c r="I7" s="48" t="e">
        <x:f>IF(状态转换表!J8&lt;&gt;"",IF(状态转换表!J8=1,状态转换表!J$2&amp;"&amp;",IF(状态转换表!J8=0,"~"&amp;状态转换表!J$2&amp;"&amp;","")),"")</x:f>
      </x:c>
      <x:c r="J7" s="48" t="e">
        <x:f>IF(状态转换表!K8&lt;&gt;"",IF(状态转换表!K8=1,状态转换表!K$2&amp;"&amp;",IF(状态转换表!K8=0,"~"&amp;状态转换表!K$2&amp;"&amp;","")),"")</x:f>
      </x:c>
      <x:c r="K7" s="48" t="e">
        <x:f>IF(状态转换表!L8&lt;&gt;"",IF(状态转换表!L8=1,状态转换表!L$2&amp;"&amp;",IF(状态转换表!L8=0,"~"&amp;状态转换表!L$2&amp;"&amp;","")),"")</x:f>
      </x:c>
      <x:c r="L7" s="59" t="e">
        <x:f>IF(状态转换表!M8&lt;&gt;"",IF(状态转换表!M8=1,状态转换表!M$2&amp;"&amp;",IF(状态转换表!M8=0,"~"&amp;状态转换表!M$2&amp;"&amp;","")),"")</x:f>
      </x:c>
      <x:c r="M7" s="58" t="str">
        <x:f t="shared" si="0"/>
      </x:c>
      <x:c r="N7" s="17" t="e">
        <x:f>IF(状态转换表!O8=1,$M7&amp;"+","")</x:f>
      </x:c>
      <x:c r="O7" s="17" t="e">
        <x:f>IF(状态转换表!P8=1,$M7&amp;"+","")</x:f>
      </x:c>
      <x:c r="P7" s="17" t="e">
        <x:f>IF(状态转换表!Q8=1,$M7&amp;"+","")</x:f>
      </x:c>
      <x:c r="Q7" s="17" t="e">
        <x:f>IF(状态转换表!R8=1,$M7&amp;"+","")</x:f>
      </x:c>
    </x:row>
    <x:row r="8">
      <x:c r="A8" s="44" t="e">
        <x:f>IF(状态转换表!A9=1,状态转换表!A$2&amp;"&amp;",IF(状态转换表!A9=0,"~"&amp;状态转换表!A$2&amp;"&amp;",""))</x:f>
      </x:c>
      <x:c r="B8" s="48" t="e">
        <x:f>IF(状态转换表!B9=1,状态转换表!B$2&amp;"&amp;",IF(状态转换表!B9=0,"~"&amp;状态转换表!B$2&amp;"&amp;",""))</x:f>
      </x:c>
      <x:c r="C8" s="48" t="e">
        <x:f>IF(状态转换表!C9=1,状态转换表!C$2&amp;"&amp;",IF(状态转换表!C9=0,"~"&amp;状态转换表!C$2&amp;"&amp;",""))</x:f>
      </x:c>
      <x:c r="D8" s="49" t="e">
        <x:f>IF(状态转换表!D9=1,状态转换表!D$2&amp;"&amp;",IF(状态转换表!D9=0,"~"&amp;状态转换表!D$2&amp;"&amp;",""))</x:f>
      </x:c>
      <x:c r="E8" s="50" t="e">
        <x:f>IF(状态转换表!F9&lt;&gt;"",IF(状态转换表!F9=1,状态转换表!F$2&amp;"&amp;",IF(状态转换表!F9=0,"~"&amp;状态转换表!F$2&amp;"&amp;","")),"")</x:f>
      </x:c>
      <x:c r="F8" s="48" t="e">
        <x:f>IF(状态转换表!G9&lt;&gt;"",IF(状态转换表!G9=1,状态转换表!G$2&amp;"&amp;",IF(状态转换表!G9=0,"~"&amp;状态转换表!G$2&amp;"&amp;","")),"")</x:f>
      </x:c>
      <x:c r="G8" s="48" t="e">
        <x:f>IF(状态转换表!H9&lt;&gt;"",IF(状态转换表!H9=1,状态转换表!H$2&amp;"&amp;",IF(状态转换表!H9=0,"~"&amp;状态转换表!H$2&amp;"&amp;","")),"")</x:f>
      </x:c>
      <x:c r="H8" s="48" t="e">
        <x:f>IF(状态转换表!I9&lt;&gt;"",IF(状态转换表!I9=1,状态转换表!I$2&amp;"&amp;",IF(状态转换表!I9=0,"~"&amp;状态转换表!I$2&amp;"&amp;","")),"")</x:f>
      </x:c>
      <x:c r="I8" s="48" t="e">
        <x:f>IF(状态转换表!J9&lt;&gt;"",IF(状态转换表!J9=1,状态转换表!J$2&amp;"&amp;",IF(状态转换表!J9=0,"~"&amp;状态转换表!J$2&amp;"&amp;","")),"")</x:f>
      </x:c>
      <x:c r="J8" s="48" t="e">
        <x:f>IF(状态转换表!K9&lt;&gt;"",IF(状态转换表!K9=1,状态转换表!K$2&amp;"&amp;",IF(状态转换表!K9=0,"~"&amp;状态转换表!K$2&amp;"&amp;","")),"")</x:f>
      </x:c>
      <x:c r="K8" s="48" t="e">
        <x:f>IF(状态转换表!L9&lt;&gt;"",IF(状态转换表!L9=1,状态转换表!L$2&amp;"&amp;",IF(状态转换表!L9=0,"~"&amp;状态转换表!L$2&amp;"&amp;","")),"")</x:f>
      </x:c>
      <x:c r="L8" s="59" t="e">
        <x:f>IF(状态转换表!M9&lt;&gt;"",IF(状态转换表!M9=1,状态转换表!M$2&amp;"&amp;",IF(状态转换表!M9=0,"~"&amp;状态转换表!M$2&amp;"&amp;","")),"")</x:f>
      </x:c>
      <x:c r="M8" s="58" t="str">
        <x:f t="shared" si="0"/>
      </x:c>
      <x:c r="N8" s="17" t="e">
        <x:f>IF(状态转换表!O9=1,$M8&amp;"+","")</x:f>
      </x:c>
      <x:c r="O8" s="17" t="e">
        <x:f>IF(状态转换表!P9=1,$M8&amp;"+","")</x:f>
      </x:c>
      <x:c r="P8" s="17" t="e">
        <x:f>IF(状态转换表!Q9=1,$M8&amp;"+","")</x:f>
      </x:c>
      <x:c r="Q8" s="17" t="e">
        <x:f>IF(状态转换表!R9=1,$M8&amp;"+","")</x:f>
      </x:c>
    </x:row>
    <x:row r="9">
      <x:c r="A9" s="44" t="e">
        <x:f>IF(状态转换表!A10=1,状态转换表!A$2&amp;"&amp;",IF(状态转换表!A10=0,"~"&amp;状态转换表!A$2&amp;"&amp;",""))</x:f>
      </x:c>
      <x:c r="B9" s="48" t="e">
        <x:f>IF(状态转换表!B10=1,状态转换表!B$2&amp;"&amp;",IF(状态转换表!B10=0,"~"&amp;状态转换表!B$2&amp;"&amp;",""))</x:f>
      </x:c>
      <x:c r="C9" s="48" t="e">
        <x:f>IF(状态转换表!C10=1,状态转换表!C$2&amp;"&amp;",IF(状态转换表!C10=0,"~"&amp;状态转换表!C$2&amp;"&amp;",""))</x:f>
      </x:c>
      <x:c r="D9" s="49" t="e">
        <x:f>IF(状态转换表!D10=1,状态转换表!D$2&amp;"&amp;",IF(状态转换表!D10=0,"~"&amp;状态转换表!D$2&amp;"&amp;",""))</x:f>
      </x:c>
      <x:c r="E9" s="50" t="e">
        <x:f>IF(状态转换表!F10&lt;&gt;"",IF(状态转换表!F10=1,状态转换表!F$2&amp;"&amp;",IF(状态转换表!F10=0,"~"&amp;状态转换表!F$2&amp;"&amp;","")),"")</x:f>
      </x:c>
      <x:c r="F9" s="48" t="e">
        <x:f>IF(状态转换表!G10&lt;&gt;"",IF(状态转换表!G10=1,状态转换表!G$2&amp;"&amp;",IF(状态转换表!G10=0,"~"&amp;状态转换表!G$2&amp;"&amp;","")),"")</x:f>
      </x:c>
      <x:c r="G9" s="48" t="e">
        <x:f>IF(状态转换表!H10&lt;&gt;"",IF(状态转换表!H10=1,状态转换表!H$2&amp;"&amp;",IF(状态转换表!H10=0,"~"&amp;状态转换表!H$2&amp;"&amp;","")),"")</x:f>
      </x:c>
      <x:c r="H9" s="48" t="e">
        <x:f>IF(状态转换表!I10&lt;&gt;"",IF(状态转换表!I10=1,状态转换表!I$2&amp;"&amp;",IF(状态转换表!I10=0,"~"&amp;状态转换表!I$2&amp;"&amp;","")),"")</x:f>
      </x:c>
      <x:c r="I9" s="48" t="e">
        <x:f>IF(状态转换表!J10&lt;&gt;"",IF(状态转换表!J10=1,状态转换表!J$2&amp;"&amp;",IF(状态转换表!J10=0,"~"&amp;状态转换表!J$2&amp;"&amp;","")),"")</x:f>
      </x:c>
      <x:c r="J9" s="48" t="e">
        <x:f>IF(状态转换表!K10&lt;&gt;"",IF(状态转换表!K10=1,状态转换表!K$2&amp;"&amp;",IF(状态转换表!K10=0,"~"&amp;状态转换表!K$2&amp;"&amp;","")),"")</x:f>
      </x:c>
      <x:c r="K9" s="48" t="e">
        <x:f>IF(状态转换表!L10&lt;&gt;"",IF(状态转换表!L10=1,状态转换表!L$2&amp;"&amp;",IF(状态转换表!L10=0,"~"&amp;状态转换表!L$2&amp;"&amp;","")),"")</x:f>
      </x:c>
      <x:c r="L9" s="59" t="e">
        <x:f>IF(状态转换表!M10&lt;&gt;"",IF(状态转换表!M10=1,状态转换表!M$2&amp;"&amp;",IF(状态转换表!M10=0,"~"&amp;状态转换表!M$2&amp;"&amp;","")),"")</x:f>
      </x:c>
      <x:c r="M9" s="58" t="str">
        <x:f t="shared" si="0"/>
      </x:c>
      <x:c r="N9" s="17" t="e">
        <x:f>IF(状态转换表!O10=1,$M9&amp;"+","")</x:f>
      </x:c>
      <x:c r="O9" s="17" t="e">
        <x:f>IF(状态转换表!P10=1,$M9&amp;"+","")</x:f>
      </x:c>
      <x:c r="P9" s="17" t="e">
        <x:f>IF(状态转换表!Q10=1,$M9&amp;"+","")</x:f>
      </x:c>
      <x:c r="Q9" s="17" t="e">
        <x:f>IF(状态转换表!R10=1,$M9&amp;"+","")</x:f>
      </x:c>
    </x:row>
    <x:row r="10">
      <x:c r="A10" s="44" t="e">
        <x:f>IF(状态转换表!A11=1,状态转换表!A$2&amp;"&amp;",IF(状态转换表!A11=0,"~"&amp;状态转换表!A$2&amp;"&amp;",""))</x:f>
      </x:c>
      <x:c r="B10" s="48" t="e">
        <x:f>IF(状态转换表!B11=1,状态转换表!B$2&amp;"&amp;",IF(状态转换表!B11=0,"~"&amp;状态转换表!B$2&amp;"&amp;",""))</x:f>
      </x:c>
      <x:c r="C10" s="48" t="e">
        <x:f>IF(状态转换表!C11=1,状态转换表!C$2&amp;"&amp;",IF(状态转换表!C11=0,"~"&amp;状态转换表!C$2&amp;"&amp;",""))</x:f>
      </x:c>
      <x:c r="D10" s="49" t="e">
        <x:f>IF(状态转换表!D11=1,状态转换表!D$2&amp;"&amp;",IF(状态转换表!D11=0,"~"&amp;状态转换表!D$2&amp;"&amp;",""))</x:f>
      </x:c>
      <x:c r="E10" s="50" t="e">
        <x:f>IF(状态转换表!F11&lt;&gt;"",IF(状态转换表!F11=1,状态转换表!F$2&amp;"&amp;",IF(状态转换表!F11=0,"~"&amp;状态转换表!F$2&amp;"&amp;","")),"")</x:f>
      </x:c>
      <x:c r="F10" s="48" t="e">
        <x:f>IF(状态转换表!G11&lt;&gt;"",IF(状态转换表!G11=1,状态转换表!G$2&amp;"&amp;",IF(状态转换表!G11=0,"~"&amp;状态转换表!G$2&amp;"&amp;","")),"")</x:f>
      </x:c>
      <x:c r="G10" s="48" t="e">
        <x:f>IF(状态转换表!H11&lt;&gt;"",IF(状态转换表!H11=1,状态转换表!H$2&amp;"&amp;",IF(状态转换表!H11=0,"~"&amp;状态转换表!H$2&amp;"&amp;","")),"")</x:f>
      </x:c>
      <x:c r="H10" s="48" t="e">
        <x:f>IF(状态转换表!I11&lt;&gt;"",IF(状态转换表!I11=1,状态转换表!I$2&amp;"&amp;",IF(状态转换表!I11=0,"~"&amp;状态转换表!I$2&amp;"&amp;","")),"")</x:f>
      </x:c>
      <x:c r="I10" s="48" t="e">
        <x:f>IF(状态转换表!J11&lt;&gt;"",IF(状态转换表!J11=1,状态转换表!J$2&amp;"&amp;",IF(状态转换表!J11=0,"~"&amp;状态转换表!J$2&amp;"&amp;","")),"")</x:f>
      </x:c>
      <x:c r="J10" s="48" t="e">
        <x:f>IF(状态转换表!K11&lt;&gt;"",IF(状态转换表!K11=1,状态转换表!K$2&amp;"&amp;",IF(状态转换表!K11=0,"~"&amp;状态转换表!K$2&amp;"&amp;","")),"")</x:f>
      </x:c>
      <x:c r="K10" s="48" t="e">
        <x:f>IF(状态转换表!L11&lt;&gt;"",IF(状态转换表!L11=1,状态转换表!L$2&amp;"&amp;",IF(状态转换表!L11=0,"~"&amp;状态转换表!L$2&amp;"&amp;","")),"")</x:f>
      </x:c>
      <x:c r="L10" s="59" t="e">
        <x:f>IF(状态转换表!M11&lt;&gt;"",IF(状态转换表!M11=1,状态转换表!M$2&amp;"&amp;",IF(状态转换表!M11=0,"~"&amp;状态转换表!M$2&amp;"&amp;","")),"")</x:f>
      </x:c>
      <x:c r="M10" s="58" t="str">
        <x:f t="shared" si="0"/>
      </x:c>
      <x:c r="N10" s="17" t="e">
        <x:f>IF(状态转换表!O11=1,$M10&amp;"+","")</x:f>
      </x:c>
      <x:c r="O10" s="17" t="e">
        <x:f>IF(状态转换表!P11=1,$M10&amp;"+","")</x:f>
      </x:c>
      <x:c r="P10" s="17" t="e">
        <x:f>IF(状态转换表!Q11=1,$M10&amp;"+","")</x:f>
      </x:c>
      <x:c r="Q10" s="17" t="e">
        <x:f>IF(状态转换表!R11=1,$M10&amp;"+","")</x:f>
      </x:c>
    </x:row>
    <x:row r="11">
      <x:c r="A11" s="44" t="e">
        <x:f>IF(状态转换表!A12=1,状态转换表!A$2&amp;"&amp;",IF(状态转换表!A12=0,"~"&amp;状态转换表!A$2&amp;"&amp;",""))</x:f>
      </x:c>
      <x:c r="B11" s="48" t="e">
        <x:f>IF(状态转换表!B12=1,状态转换表!B$2&amp;"&amp;",IF(状态转换表!B12=0,"~"&amp;状态转换表!B$2&amp;"&amp;",""))</x:f>
      </x:c>
      <x:c r="C11" s="48" t="e">
        <x:f>IF(状态转换表!C12=1,状态转换表!C$2&amp;"&amp;",IF(状态转换表!C12=0,"~"&amp;状态转换表!C$2&amp;"&amp;",""))</x:f>
      </x:c>
      <x:c r="D11" s="49" t="e">
        <x:f>IF(状态转换表!D12=1,状态转换表!D$2&amp;"&amp;",IF(状态转换表!D12=0,"~"&amp;状态转换表!D$2&amp;"&amp;",""))</x:f>
      </x:c>
      <x:c r="E11" s="50" t="e">
        <x:f>IF(状态转换表!F12&lt;&gt;"",IF(状态转换表!F12=1,状态转换表!F$2&amp;"&amp;",IF(状态转换表!F12=0,"~"&amp;状态转换表!F$2&amp;"&amp;","")),"")</x:f>
      </x:c>
      <x:c r="F11" s="48" t="e">
        <x:f>IF(状态转换表!G12&lt;&gt;"",IF(状态转换表!G12=1,状态转换表!G$2&amp;"&amp;",IF(状态转换表!G12=0,"~"&amp;状态转换表!G$2&amp;"&amp;","")),"")</x:f>
      </x:c>
      <x:c r="G11" s="48" t="e">
        <x:f>IF(状态转换表!H12&lt;&gt;"",IF(状态转换表!H12=1,状态转换表!H$2&amp;"&amp;",IF(状态转换表!H12=0,"~"&amp;状态转换表!H$2&amp;"&amp;","")),"")</x:f>
      </x:c>
      <x:c r="H11" s="48" t="e">
        <x:f>IF(状态转换表!I12&lt;&gt;"",IF(状态转换表!I12=1,状态转换表!I$2&amp;"&amp;",IF(状态转换表!I12=0,"~"&amp;状态转换表!I$2&amp;"&amp;","")),"")</x:f>
      </x:c>
      <x:c r="I11" s="48" t="e">
        <x:f>IF(状态转换表!J12&lt;&gt;"",IF(状态转换表!J12=1,状态转换表!J$2&amp;"&amp;",IF(状态转换表!J12=0,"~"&amp;状态转换表!J$2&amp;"&amp;","")),"")</x:f>
      </x:c>
      <x:c r="J11" s="48" t="e">
        <x:f>IF(状态转换表!K12&lt;&gt;"",IF(状态转换表!K12=1,状态转换表!K$2&amp;"&amp;",IF(状态转换表!K12=0,"~"&amp;状态转换表!K$2&amp;"&amp;","")),"")</x:f>
      </x:c>
      <x:c r="K11" s="48" t="e">
        <x:f>IF(状态转换表!L12&lt;&gt;"",IF(状态转换表!L12=1,状态转换表!L$2&amp;"&amp;",IF(状态转换表!L12=0,"~"&amp;状态转换表!L$2&amp;"&amp;","")),"")</x:f>
      </x:c>
      <x:c r="L11" s="59" t="e">
        <x:f>IF(状态转换表!M12&lt;&gt;"",IF(状态转换表!M12=1,状态转换表!M$2&amp;"&amp;",IF(状态转换表!M12=0,"~"&amp;状态转换表!M$2&amp;"&amp;","")),"")</x:f>
      </x:c>
      <x:c r="M11" s="58" t="str">
        <x:f t="shared" si="0"/>
      </x:c>
      <x:c r="N11" s="17" t="e">
        <x:f>IF(状态转换表!O12=1,$M11&amp;"+","")</x:f>
      </x:c>
      <x:c r="O11" s="17" t="e">
        <x:f>IF(状态转换表!P12=1,$M11&amp;"+","")</x:f>
      </x:c>
      <x:c r="P11" s="17" t="e">
        <x:f>IF(状态转换表!Q12=1,$M11&amp;"+","")</x:f>
      </x:c>
      <x:c r="Q11" s="17" t="e">
        <x:f>IF(状态转换表!R12=1,$M11&amp;"+","")</x:f>
      </x:c>
    </x:row>
    <x:row r="12">
      <x:c r="A12" s="44" t="e">
        <x:f>IF(状态转换表!A13=1,状态转换表!A$2&amp;"&amp;",IF(状态转换表!A13=0,"~"&amp;状态转换表!A$2&amp;"&amp;",""))</x:f>
      </x:c>
      <x:c r="B12" s="48" t="e">
        <x:f>IF(状态转换表!B13=1,状态转换表!B$2&amp;"&amp;",IF(状态转换表!B13=0,"~"&amp;状态转换表!B$2&amp;"&amp;",""))</x:f>
      </x:c>
      <x:c r="C12" s="48" t="e">
        <x:f>IF(状态转换表!C13=1,状态转换表!C$2&amp;"&amp;",IF(状态转换表!C13=0,"~"&amp;状态转换表!C$2&amp;"&amp;",""))</x:f>
      </x:c>
      <x:c r="D12" s="49" t="e">
        <x:f>IF(状态转换表!D13=1,状态转换表!D$2&amp;"&amp;",IF(状态转换表!D13=0,"~"&amp;状态转换表!D$2&amp;"&amp;",""))</x:f>
      </x:c>
      <x:c r="E12" s="50" t="e">
        <x:f>IF(状态转换表!F13&lt;&gt;"",IF(状态转换表!F13=1,状态转换表!F$2&amp;"&amp;",IF(状态转换表!F13=0,"~"&amp;状态转换表!F$2&amp;"&amp;","")),"")</x:f>
      </x:c>
      <x:c r="F12" s="48" t="e">
        <x:f>IF(状态转换表!G13&lt;&gt;"",IF(状态转换表!G13=1,状态转换表!G$2&amp;"&amp;",IF(状态转换表!G13=0,"~"&amp;状态转换表!G$2&amp;"&amp;","")),"")</x:f>
      </x:c>
      <x:c r="G12" s="48" t="e">
        <x:f>IF(状态转换表!H13&lt;&gt;"",IF(状态转换表!H13=1,状态转换表!H$2&amp;"&amp;",IF(状态转换表!H13=0,"~"&amp;状态转换表!H$2&amp;"&amp;","")),"")</x:f>
      </x:c>
      <x:c r="H12" s="48" t="e">
        <x:f>IF(状态转换表!I13&lt;&gt;"",IF(状态转换表!I13=1,状态转换表!I$2&amp;"&amp;",IF(状态转换表!I13=0,"~"&amp;状态转换表!I$2&amp;"&amp;","")),"")</x:f>
      </x:c>
      <x:c r="I12" s="48" t="e">
        <x:f>IF(状态转换表!J13&lt;&gt;"",IF(状态转换表!J13=1,状态转换表!J$2&amp;"&amp;",IF(状态转换表!J13=0,"~"&amp;状态转换表!J$2&amp;"&amp;","")),"")</x:f>
      </x:c>
      <x:c r="J12" s="48" t="e">
        <x:f>IF(状态转换表!K13&lt;&gt;"",IF(状态转换表!K13=1,状态转换表!K$2&amp;"&amp;",IF(状态转换表!K13=0,"~"&amp;状态转换表!K$2&amp;"&amp;","")),"")</x:f>
      </x:c>
      <x:c r="K12" s="48" t="e">
        <x:f>IF(状态转换表!L13&lt;&gt;"",IF(状态转换表!L13=1,状态转换表!L$2&amp;"&amp;",IF(状态转换表!L13=0,"~"&amp;状态转换表!L$2&amp;"&amp;","")),"")</x:f>
      </x:c>
      <x:c r="L12" s="59" t="e">
        <x:f>IF(状态转换表!M13&lt;&gt;"",IF(状态转换表!M13=1,状态转换表!M$2&amp;"&amp;",IF(状态转换表!M13=0,"~"&amp;状态转换表!M$2&amp;"&amp;","")),"")</x:f>
      </x:c>
      <x:c r="M12" s="58" t="str">
        <x:f t="shared" si="0"/>
      </x:c>
      <x:c r="N12" s="17" t="e">
        <x:f>IF(状态转换表!O13=1,$M12&amp;"+","")</x:f>
      </x:c>
      <x:c r="O12" s="17" t="e">
        <x:f>IF(状态转换表!P13=1,$M12&amp;"+","")</x:f>
      </x:c>
      <x:c r="P12" s="17" t="e">
        <x:f>IF(状态转换表!Q13=1,$M12&amp;"+","")</x:f>
      </x:c>
      <x:c r="Q12" s="17" t="e">
        <x:f>IF(状态转换表!R13=1,$M12&amp;"+","")</x:f>
      </x:c>
    </x:row>
    <x:row r="13">
      <x:c r="A13" s="44" t="e">
        <x:f>IF(状态转换表!A14=1,状态转换表!A$2&amp;"&amp;",IF(状态转换表!A14=0,"~"&amp;状态转换表!A$2&amp;"&amp;",""))</x:f>
      </x:c>
      <x:c r="B13" s="48" t="e">
        <x:f>IF(状态转换表!B14=1,状态转换表!B$2&amp;"&amp;",IF(状态转换表!B14=0,"~"&amp;状态转换表!B$2&amp;"&amp;",""))</x:f>
      </x:c>
      <x:c r="C13" s="48" t="e">
        <x:f>IF(状态转换表!C14=1,状态转换表!C$2&amp;"&amp;",IF(状态转换表!C14=0,"~"&amp;状态转换表!C$2&amp;"&amp;",""))</x:f>
      </x:c>
      <x:c r="D13" s="49" t="e">
        <x:f>IF(状态转换表!D14=1,状态转换表!D$2&amp;"&amp;",IF(状态转换表!D14=0,"~"&amp;状态转换表!D$2&amp;"&amp;",""))</x:f>
      </x:c>
      <x:c r="E13" s="50" t="e">
        <x:f>IF(状态转换表!F14&lt;&gt;"",IF(状态转换表!F14=1,状态转换表!F$2&amp;"&amp;",IF(状态转换表!F14=0,"~"&amp;状态转换表!F$2&amp;"&amp;","")),"")</x:f>
      </x:c>
      <x:c r="F13" s="48" t="e">
        <x:f>IF(状态转换表!G14&lt;&gt;"",IF(状态转换表!G14=1,状态转换表!G$2&amp;"&amp;",IF(状态转换表!G14=0,"~"&amp;状态转换表!G$2&amp;"&amp;","")),"")</x:f>
      </x:c>
      <x:c r="G13" s="48" t="e">
        <x:f>IF(状态转换表!H14&lt;&gt;"",IF(状态转换表!H14=1,状态转换表!H$2&amp;"&amp;",IF(状态转换表!H14=0,"~"&amp;状态转换表!H$2&amp;"&amp;","")),"")</x:f>
      </x:c>
      <x:c r="H13" s="48" t="e">
        <x:f>IF(状态转换表!I14&lt;&gt;"",IF(状态转换表!I14=1,状态转换表!I$2&amp;"&amp;",IF(状态转换表!I14=0,"~"&amp;状态转换表!I$2&amp;"&amp;","")),"")</x:f>
      </x:c>
      <x:c r="I13" s="48" t="e">
        <x:f>IF(状态转换表!J14&lt;&gt;"",IF(状态转换表!J14=1,状态转换表!J$2&amp;"&amp;",IF(状态转换表!J14=0,"~"&amp;状态转换表!J$2&amp;"&amp;","")),"")</x:f>
      </x:c>
      <x:c r="J13" s="48" t="e">
        <x:f>IF(状态转换表!K14&lt;&gt;"",IF(状态转换表!K14=1,状态转换表!K$2&amp;"&amp;",IF(状态转换表!K14=0,"~"&amp;状态转换表!K$2&amp;"&amp;","")),"")</x:f>
      </x:c>
      <x:c r="K13" s="48" t="e">
        <x:f>IF(状态转换表!L14&lt;&gt;"",IF(状态转换表!L14=1,状态转换表!L$2&amp;"&amp;",IF(状态转换表!L14=0,"~"&amp;状态转换表!L$2&amp;"&amp;","")),"")</x:f>
      </x:c>
      <x:c r="L13" s="59" t="e">
        <x:f>IF(状态转换表!M14&lt;&gt;"",IF(状态转换表!M14=1,状态转换表!M$2&amp;"&amp;",IF(状态转换表!M14=0,"~"&amp;状态转换表!M$2&amp;"&amp;","")),"")</x:f>
      </x:c>
      <x:c r="M13" s="58" t="str">
        <x:f t="shared" si="0"/>
      </x:c>
      <x:c r="N13" s="17" t="e">
        <x:f>IF(状态转换表!O14=1,$M13&amp;"+","")</x:f>
      </x:c>
      <x:c r="O13" s="17" t="e">
        <x:f>IF(状态转换表!P14=1,$M13&amp;"+","")</x:f>
      </x:c>
      <x:c r="P13" s="17" t="e">
        <x:f>IF(状态转换表!Q14=1,$M13&amp;"+","")</x:f>
      </x:c>
      <x:c r="Q13" s="17" t="e">
        <x:f>IF(状态转换表!R14=1,$M13&amp;"+","")</x:f>
      </x:c>
    </x:row>
    <x:row r="14">
      <x:c r="A14" s="44" t="e">
        <x:f>IF(状态转换表!A15=1,状态转换表!A$2&amp;"&amp;",IF(状态转换表!A15=0,"~"&amp;状态转换表!A$2&amp;"&amp;",""))</x:f>
      </x:c>
      <x:c r="B14" s="48" t="e">
        <x:f>IF(状态转换表!B15=1,状态转换表!B$2&amp;"&amp;",IF(状态转换表!B15=0,"~"&amp;状态转换表!B$2&amp;"&amp;",""))</x:f>
      </x:c>
      <x:c r="C14" s="48" t="e">
        <x:f>IF(状态转换表!C15=1,状态转换表!C$2&amp;"&amp;",IF(状态转换表!C15=0,"~"&amp;状态转换表!C$2&amp;"&amp;",""))</x:f>
      </x:c>
      <x:c r="D14" s="49" t="e">
        <x:f>IF(状态转换表!D15=1,状态转换表!D$2&amp;"&amp;",IF(状态转换表!D15=0,"~"&amp;状态转换表!D$2&amp;"&amp;",""))</x:f>
      </x:c>
      <x:c r="E14" s="50" t="e">
        <x:f>IF(状态转换表!F15&lt;&gt;"",IF(状态转换表!F15=1,状态转换表!F$2&amp;"&amp;",IF(状态转换表!F15=0,"~"&amp;状态转换表!F$2&amp;"&amp;","")),"")</x:f>
      </x:c>
      <x:c r="F14" s="48" t="e">
        <x:f>IF(状态转换表!G15&lt;&gt;"",IF(状态转换表!G15=1,状态转换表!G$2&amp;"&amp;",IF(状态转换表!G15=0,"~"&amp;状态转换表!G$2&amp;"&amp;","")),"")</x:f>
      </x:c>
      <x:c r="G14" s="48" t="e">
        <x:f>IF(状态转换表!H15&lt;&gt;"",IF(状态转换表!H15=1,状态转换表!H$2&amp;"&amp;",IF(状态转换表!H15=0,"~"&amp;状态转换表!H$2&amp;"&amp;","")),"")</x:f>
      </x:c>
      <x:c r="H14" s="48" t="e">
        <x:f>IF(状态转换表!I15&lt;&gt;"",IF(状态转换表!I15=1,状态转换表!I$2&amp;"&amp;",IF(状态转换表!I15=0,"~"&amp;状态转换表!I$2&amp;"&amp;","")),"")</x:f>
      </x:c>
      <x:c r="I14" s="48" t="e">
        <x:f>IF(状态转换表!J15&lt;&gt;"",IF(状态转换表!J15=1,状态转换表!J$2&amp;"&amp;",IF(状态转换表!J15=0,"~"&amp;状态转换表!J$2&amp;"&amp;","")),"")</x:f>
      </x:c>
      <x:c r="J14" s="48" t="e">
        <x:f>IF(状态转换表!K15&lt;&gt;"",IF(状态转换表!K15=1,状态转换表!K$2&amp;"&amp;",IF(状态转换表!K15=0,"~"&amp;状态转换表!K$2&amp;"&amp;","")),"")</x:f>
      </x:c>
      <x:c r="K14" s="48" t="e">
        <x:f>IF(状态转换表!L15&lt;&gt;"",IF(状态转换表!L15=1,状态转换表!L$2&amp;"&amp;",IF(状态转换表!L15=0,"~"&amp;状态转换表!L$2&amp;"&amp;","")),"")</x:f>
      </x:c>
      <x:c r="L14" s="59" t="e">
        <x:f>IF(状态转换表!M15&lt;&gt;"",IF(状态转换表!M15=1,状态转换表!M$2&amp;"&amp;",IF(状态转换表!M15=0,"~"&amp;状态转换表!M$2&amp;"&amp;","")),"")</x:f>
      </x:c>
      <x:c r="M14" s="58" t="str">
        <x:f t="shared" si="0"/>
      </x:c>
      <x:c r="N14" s="17" t="e">
        <x:f>IF(状态转换表!O15=1,$M14&amp;"+","")</x:f>
      </x:c>
      <x:c r="O14" s="17" t="e">
        <x:f>IF(状态转换表!P15=1,$M14&amp;"+","")</x:f>
      </x:c>
      <x:c r="P14" s="17" t="e">
        <x:f>IF(状态转换表!Q15=1,$M14&amp;"+","")</x:f>
      </x:c>
      <x:c r="Q14" s="17" t="e">
        <x:f>IF(状态转换表!R15=1,$M14&amp;"+","")</x:f>
      </x:c>
    </x:row>
    <x:row r="15">
      <x:c r="A15" s="44" t="e">
        <x:f>IF(状态转换表!A16=1,状态转换表!A$2&amp;"&amp;",IF(状态转换表!A16=0,"~"&amp;状态转换表!A$2&amp;"&amp;",""))</x:f>
      </x:c>
      <x:c r="B15" s="48" t="e">
        <x:f>IF(状态转换表!B16=1,状态转换表!B$2&amp;"&amp;",IF(状态转换表!B16=0,"~"&amp;状态转换表!B$2&amp;"&amp;",""))</x:f>
      </x:c>
      <x:c r="C15" s="48" t="e">
        <x:f>IF(状态转换表!C16=1,状态转换表!C$2&amp;"&amp;",IF(状态转换表!C16=0,"~"&amp;状态转换表!C$2&amp;"&amp;",""))</x:f>
      </x:c>
      <x:c r="D15" s="49" t="e">
        <x:f>IF(状态转换表!D16=1,状态转换表!D$2&amp;"&amp;",IF(状态转换表!D16=0,"~"&amp;状态转换表!D$2&amp;"&amp;",""))</x:f>
      </x:c>
      <x:c r="E15" s="50" t="e">
        <x:f>IF(状态转换表!F16&lt;&gt;"",IF(状态转换表!F16=1,状态转换表!F$2&amp;"&amp;",IF(状态转换表!F16=0,"~"&amp;状态转换表!F$2&amp;"&amp;","")),"")</x:f>
      </x:c>
      <x:c r="F15" s="48" t="e">
        <x:f>IF(状态转换表!G16&lt;&gt;"",IF(状态转换表!G16=1,状态转换表!G$2&amp;"&amp;",IF(状态转换表!G16=0,"~"&amp;状态转换表!G$2&amp;"&amp;","")),"")</x:f>
      </x:c>
      <x:c r="G15" s="48" t="e">
        <x:f>IF(状态转换表!H16&lt;&gt;"",IF(状态转换表!H16=1,状态转换表!H$2&amp;"&amp;",IF(状态转换表!H16=0,"~"&amp;状态转换表!H$2&amp;"&amp;","")),"")</x:f>
      </x:c>
      <x:c r="H15" s="48" t="e">
        <x:f>IF(状态转换表!I16&lt;&gt;"",IF(状态转换表!I16=1,状态转换表!I$2&amp;"&amp;",IF(状态转换表!I16=0,"~"&amp;状态转换表!I$2&amp;"&amp;","")),"")</x:f>
      </x:c>
      <x:c r="I15" s="48" t="e">
        <x:f>IF(状态转换表!J16&lt;&gt;"",IF(状态转换表!J16=1,状态转换表!J$2&amp;"&amp;",IF(状态转换表!J16=0,"~"&amp;状态转换表!J$2&amp;"&amp;","")),"")</x:f>
      </x:c>
      <x:c r="J15" s="48" t="e">
        <x:f>IF(状态转换表!K16&lt;&gt;"",IF(状态转换表!K16=1,状态转换表!K$2&amp;"&amp;",IF(状态转换表!K16=0,"~"&amp;状态转换表!K$2&amp;"&amp;","")),"")</x:f>
      </x:c>
      <x:c r="K15" s="48" t="e">
        <x:f>IF(状态转换表!L16&lt;&gt;"",IF(状态转换表!L16=1,状态转换表!L$2&amp;"&amp;",IF(状态转换表!L16=0,"~"&amp;状态转换表!L$2&amp;"&amp;","")),"")</x:f>
      </x:c>
      <x:c r="L15" s="59" t="e">
        <x:f>IF(状态转换表!M16&lt;&gt;"",IF(状态转换表!M16=1,状态转换表!M$2&amp;"&amp;",IF(状态转换表!M16=0,"~"&amp;状态转换表!M$2&amp;"&amp;","")),"")</x:f>
      </x:c>
      <x:c r="M15" s="58" t="str">
        <x:f t="shared" si="0"/>
      </x:c>
      <x:c r="N15" s="17" t="e">
        <x:f>IF(状态转换表!O16=1,$M15&amp;"+","")</x:f>
      </x:c>
      <x:c r="O15" s="17" t="e">
        <x:f>IF(状态转换表!P16=1,$M15&amp;"+","")</x:f>
      </x:c>
      <x:c r="P15" s="17" t="e">
        <x:f>IF(状态转换表!Q16=1,$M15&amp;"+","")</x:f>
      </x:c>
      <x:c r="Q15" s="17" t="e">
        <x:f>IF(状态转换表!R16=1,$M15&amp;"+","")</x:f>
      </x:c>
    </x:row>
    <x:row r="16">
      <x:c r="A16" s="44" t="e">
        <x:f>IF(状态转换表!A17=1,状态转换表!A$2&amp;"&amp;",IF(状态转换表!A17=0,"~"&amp;状态转换表!A$2&amp;"&amp;",""))</x:f>
      </x:c>
      <x:c r="B16" s="48" t="e">
        <x:f>IF(状态转换表!B17=1,状态转换表!B$2&amp;"&amp;",IF(状态转换表!B17=0,"~"&amp;状态转换表!B$2&amp;"&amp;",""))</x:f>
      </x:c>
      <x:c r="C16" s="48" t="e">
        <x:f>IF(状态转换表!C17=1,状态转换表!C$2&amp;"&amp;",IF(状态转换表!C17=0,"~"&amp;状态转换表!C$2&amp;"&amp;",""))</x:f>
      </x:c>
      <x:c r="D16" s="49" t="e">
        <x:f>IF(状态转换表!D17=1,状态转换表!D$2&amp;"&amp;",IF(状态转换表!D17=0,"~"&amp;状态转换表!D$2&amp;"&amp;",""))</x:f>
      </x:c>
      <x:c r="E16" s="50" t="e">
        <x:f>IF(状态转换表!F17&lt;&gt;"",IF(状态转换表!F17=1,状态转换表!F$2&amp;"&amp;",IF(状态转换表!F17=0,"~"&amp;状态转换表!F$2&amp;"&amp;","")),"")</x:f>
      </x:c>
      <x:c r="F16" s="48" t="e">
        <x:f>IF(状态转换表!G17&lt;&gt;"",IF(状态转换表!G17=1,状态转换表!G$2&amp;"&amp;",IF(状态转换表!G17=0,"~"&amp;状态转换表!G$2&amp;"&amp;","")),"")</x:f>
      </x:c>
      <x:c r="G16" s="48" t="e">
        <x:f>IF(状态转换表!H17&lt;&gt;"",IF(状态转换表!H17=1,状态转换表!H$2&amp;"&amp;",IF(状态转换表!H17=0,"~"&amp;状态转换表!H$2&amp;"&amp;","")),"")</x:f>
      </x:c>
      <x:c r="H16" s="48" t="e">
        <x:f>IF(状态转换表!I17&lt;&gt;"",IF(状态转换表!I17=1,状态转换表!I$2&amp;"&amp;",IF(状态转换表!I17=0,"~"&amp;状态转换表!I$2&amp;"&amp;","")),"")</x:f>
      </x:c>
      <x:c r="I16" s="48" t="e">
        <x:f>IF(状态转换表!J17&lt;&gt;"",IF(状态转换表!J17=1,状态转换表!J$2&amp;"&amp;",IF(状态转换表!J17=0,"~"&amp;状态转换表!J$2&amp;"&amp;","")),"")</x:f>
      </x:c>
      <x:c r="J16" s="48" t="e">
        <x:f>IF(状态转换表!K17&lt;&gt;"",IF(状态转换表!K17=1,状态转换表!K$2&amp;"&amp;",IF(状态转换表!K17=0,"~"&amp;状态转换表!K$2&amp;"&amp;","")),"")</x:f>
      </x:c>
      <x:c r="K16" s="48" t="e">
        <x:f>IF(状态转换表!L17&lt;&gt;"",IF(状态转换表!L17=1,状态转换表!L$2&amp;"&amp;",IF(状态转换表!L17=0,"~"&amp;状态转换表!L$2&amp;"&amp;","")),"")</x:f>
      </x:c>
      <x:c r="L16" s="59" t="e">
        <x:f>IF(状态转换表!M17&lt;&gt;"",IF(状态转换表!M17=1,状态转换表!M$2&amp;"&amp;",IF(状态转换表!M17=0,"~"&amp;状态转换表!M$2&amp;"&amp;","")),"")</x:f>
      </x:c>
      <x:c r="M16" s="58" t="str">
        <x:f t="shared" si="0"/>
      </x:c>
      <x:c r="N16" s="17" t="e">
        <x:f>IF(状态转换表!O17=1,$M16&amp;"+","")</x:f>
      </x:c>
      <x:c r="O16" s="17" t="e">
        <x:f>IF(状态转换表!P17=1,$M16&amp;"+","")</x:f>
      </x:c>
      <x:c r="P16" s="17" t="e">
        <x:f>IF(状态转换表!Q17=1,$M16&amp;"+","")</x:f>
      </x:c>
      <x:c r="Q16" s="17" t="e">
        <x:f>IF(状态转换表!R17=1,$M16&amp;"+","")</x:f>
      </x:c>
    </x:row>
    <x:row r="17">
      <x:c r="A17" s="44" t="e">
        <x:f>IF(状态转换表!A18=1,状态转换表!A$2&amp;"&amp;",IF(状态转换表!A18=0,"~"&amp;状态转换表!A$2&amp;"&amp;",""))</x:f>
      </x:c>
      <x:c r="B17" s="48" t="e">
        <x:f>IF(状态转换表!B18=1,状态转换表!B$2&amp;"&amp;",IF(状态转换表!B18=0,"~"&amp;状态转换表!B$2&amp;"&amp;",""))</x:f>
      </x:c>
      <x:c r="C17" s="48" t="e">
        <x:f>IF(状态转换表!C18=1,状态转换表!C$2&amp;"&amp;",IF(状态转换表!C18=0,"~"&amp;状态转换表!C$2&amp;"&amp;",""))</x:f>
      </x:c>
      <x:c r="D17" s="49" t="e">
        <x:f>IF(状态转换表!D18=1,状态转换表!D$2&amp;"&amp;",IF(状态转换表!D18=0,"~"&amp;状态转换表!D$2&amp;"&amp;",""))</x:f>
      </x:c>
      <x:c r="E17" s="50" t="e">
        <x:f>IF(状态转换表!F18&lt;&gt;"",IF(状态转换表!F18=1,状态转换表!F$2&amp;"&amp;",IF(状态转换表!F18=0,"~"&amp;状态转换表!F$2&amp;"&amp;","")),"")</x:f>
      </x:c>
      <x:c r="F17" s="48" t="e">
        <x:f>IF(状态转换表!G18&lt;&gt;"",IF(状态转换表!G18=1,状态转换表!G$2&amp;"&amp;",IF(状态转换表!G18=0,"~"&amp;状态转换表!G$2&amp;"&amp;","")),"")</x:f>
      </x:c>
      <x:c r="G17" s="48" t="e">
        <x:f>IF(状态转换表!H18&lt;&gt;"",IF(状态转换表!H18=1,状态转换表!H$2&amp;"&amp;",IF(状态转换表!H18=0,"~"&amp;状态转换表!H$2&amp;"&amp;","")),"")</x:f>
      </x:c>
      <x:c r="H17" s="48" t="e">
        <x:f>IF(状态转换表!I18&lt;&gt;"",IF(状态转换表!I18=1,状态转换表!I$2&amp;"&amp;",IF(状态转换表!I18=0,"~"&amp;状态转换表!I$2&amp;"&amp;","")),"")</x:f>
      </x:c>
      <x:c r="I17" s="48" t="e">
        <x:f>IF(状态转换表!J18&lt;&gt;"",IF(状态转换表!J18=1,状态转换表!J$2&amp;"&amp;",IF(状态转换表!J18=0,"~"&amp;状态转换表!J$2&amp;"&amp;","")),"")</x:f>
      </x:c>
      <x:c r="J17" s="48" t="e">
        <x:f>IF(状态转换表!K18&lt;&gt;"",IF(状态转换表!K18=1,状态转换表!K$2&amp;"&amp;",IF(状态转换表!K18=0,"~"&amp;状态转换表!K$2&amp;"&amp;","")),"")</x:f>
      </x:c>
      <x:c r="K17" s="48" t="e">
        <x:f>IF(状态转换表!L18&lt;&gt;"",IF(状态转换表!L18=1,状态转换表!L$2&amp;"&amp;",IF(状态转换表!L18=0,"~"&amp;状态转换表!L$2&amp;"&amp;","")),"")</x:f>
      </x:c>
      <x:c r="L17" s="59" t="e">
        <x:f>IF(状态转换表!M18&lt;&gt;"",IF(状态转换表!M18=1,状态转换表!M$2&amp;"&amp;",IF(状态转换表!M18=0,"~"&amp;状态转换表!M$2&amp;"&amp;","")),"")</x:f>
      </x:c>
      <x:c r="M17" s="58" t="str">
        <x:f t="shared" si="0"/>
      </x:c>
      <x:c r="N17" s="17" t="e">
        <x:f>IF(状态转换表!O18=1,$M17&amp;"+","")</x:f>
      </x:c>
      <x:c r="O17" s="17" t="e">
        <x:f>IF(状态转换表!P18=1,$M17&amp;"+","")</x:f>
      </x:c>
      <x:c r="P17" s="17" t="e">
        <x:f>IF(状态转换表!Q18=1,$M17&amp;"+","")</x:f>
      </x:c>
      <x:c r="Q17" s="17" t="e">
        <x:f>IF(状态转换表!R18=1,$M17&amp;"+","")</x:f>
      </x:c>
    </x:row>
    <x:row r="18">
      <x:c r="A18" s="44" t="e">
        <x:f>IF(状态转换表!A19=1,状态转换表!A$2&amp;"&amp;",IF(状态转换表!A19=0,"~"&amp;状态转换表!A$2&amp;"&amp;",""))</x:f>
      </x:c>
      <x:c r="B18" s="48" t="e">
        <x:f>IF(状态转换表!B19=1,状态转换表!B$2&amp;"&amp;",IF(状态转换表!B19=0,"~"&amp;状态转换表!B$2&amp;"&amp;",""))</x:f>
      </x:c>
      <x:c r="C18" s="48" t="e">
        <x:f>IF(状态转换表!C19=1,状态转换表!C$2&amp;"&amp;",IF(状态转换表!C19=0,"~"&amp;状态转换表!C$2&amp;"&amp;",""))</x:f>
      </x:c>
      <x:c r="D18" s="49" t="e">
        <x:f>IF(状态转换表!D19=1,状态转换表!D$2&amp;"&amp;",IF(状态转换表!D19=0,"~"&amp;状态转换表!D$2&amp;"&amp;",""))</x:f>
      </x:c>
      <x:c r="E18" s="50" t="e">
        <x:f>IF(状态转换表!F19&lt;&gt;"",IF(状态转换表!F19=1,状态转换表!F$2&amp;"&amp;",IF(状态转换表!F19=0,"~"&amp;状态转换表!F$2&amp;"&amp;","")),"")</x:f>
      </x:c>
      <x:c r="F18" s="48" t="e">
        <x:f>IF(状态转换表!G19&lt;&gt;"",IF(状态转换表!G19=1,状态转换表!G$2&amp;"&amp;",IF(状态转换表!G19=0,"~"&amp;状态转换表!G$2&amp;"&amp;","")),"")</x:f>
      </x:c>
      <x:c r="G18" s="48" t="e">
        <x:f>IF(状态转换表!H19&lt;&gt;"",IF(状态转换表!H19=1,状态转换表!H$2&amp;"&amp;",IF(状态转换表!H19=0,"~"&amp;状态转换表!H$2&amp;"&amp;","")),"")</x:f>
      </x:c>
      <x:c r="H18" s="48" t="e">
        <x:f>IF(状态转换表!I19&lt;&gt;"",IF(状态转换表!I19=1,状态转换表!I$2&amp;"&amp;",IF(状态转换表!I19=0,"~"&amp;状态转换表!I$2&amp;"&amp;","")),"")</x:f>
      </x:c>
      <x:c r="I18" s="48" t="e">
        <x:f>IF(状态转换表!J19&lt;&gt;"",IF(状态转换表!J19=1,状态转换表!J$2&amp;"&amp;",IF(状态转换表!J19=0,"~"&amp;状态转换表!J$2&amp;"&amp;","")),"")</x:f>
      </x:c>
      <x:c r="J18" s="48" t="e">
        <x:f>IF(状态转换表!K19&lt;&gt;"",IF(状态转换表!K19=1,状态转换表!K$2&amp;"&amp;",IF(状态转换表!K19=0,"~"&amp;状态转换表!K$2&amp;"&amp;","")),"")</x:f>
      </x:c>
      <x:c r="K18" s="48" t="e">
        <x:f>IF(状态转换表!L19&lt;&gt;"",IF(状态转换表!L19=1,状态转换表!L$2&amp;"&amp;",IF(状态转换表!L19=0,"~"&amp;状态转换表!L$2&amp;"&amp;","")),"")</x:f>
      </x:c>
      <x:c r="L18" s="59" t="e">
        <x:f>IF(状态转换表!M19&lt;&gt;"",IF(状态转换表!M19=1,状态转换表!M$2&amp;"&amp;",IF(状态转换表!M19=0,"~"&amp;状态转换表!M$2&amp;"&amp;","")),"")</x:f>
      </x:c>
      <x:c r="M18" s="58" t="str">
        <x:f t="shared" si="0"/>
      </x:c>
      <x:c r="N18" s="17" t="e">
        <x:f>IF(状态转换表!O19=1,$M18&amp;"+","")</x:f>
      </x:c>
      <x:c r="O18" s="17" t="e">
        <x:f>IF(状态转换表!P19=1,$M18&amp;"+","")</x:f>
      </x:c>
      <x:c r="P18" s="17" t="e">
        <x:f>IF(状态转换表!Q19=1,$M18&amp;"+","")</x:f>
      </x:c>
      <x:c r="Q18" s="17" t="e">
        <x:f>IF(状态转换表!R19=1,$M18&amp;"+","")</x:f>
      </x:c>
    </x:row>
    <x:row r="19">
      <x:c r="A19" s="44" t="e">
        <x:f>IF(状态转换表!A20=1,状态转换表!A$2&amp;"&amp;",IF(状态转换表!A20=0,"~"&amp;状态转换表!A$2&amp;"&amp;",""))</x:f>
      </x:c>
      <x:c r="B19" s="48" t="e">
        <x:f>IF(状态转换表!B20=1,状态转换表!B$2&amp;"&amp;",IF(状态转换表!B20=0,"~"&amp;状态转换表!B$2&amp;"&amp;",""))</x:f>
      </x:c>
      <x:c r="C19" s="48" t="e">
        <x:f>IF(状态转换表!C20=1,状态转换表!C$2&amp;"&amp;",IF(状态转换表!C20=0,"~"&amp;状态转换表!C$2&amp;"&amp;",""))</x:f>
      </x:c>
      <x:c r="D19" s="49" t="e">
        <x:f>IF(状态转换表!D20=1,状态转换表!D$2&amp;"&amp;",IF(状态转换表!D20=0,"~"&amp;状态转换表!D$2&amp;"&amp;",""))</x:f>
      </x:c>
      <x:c r="E19" s="50" t="e">
        <x:f>IF(状态转换表!F20&lt;&gt;"",IF(状态转换表!F20=1,状态转换表!F$2&amp;"&amp;",IF(状态转换表!F20=0,"~"&amp;状态转换表!F$2&amp;"&amp;","")),"")</x:f>
      </x:c>
      <x:c r="F19" s="48" t="e">
        <x:f>IF(状态转换表!G20&lt;&gt;"",IF(状态转换表!G20=1,状态转换表!G$2&amp;"&amp;",IF(状态转换表!G20=0,"~"&amp;状态转换表!G$2&amp;"&amp;","")),"")</x:f>
      </x:c>
      <x:c r="G19" s="48" t="e">
        <x:f>IF(状态转换表!H20&lt;&gt;"",IF(状态转换表!H20=1,状态转换表!H$2&amp;"&amp;",IF(状态转换表!H20=0,"~"&amp;状态转换表!H$2&amp;"&amp;","")),"")</x:f>
      </x:c>
      <x:c r="H19" s="48" t="e">
        <x:f>IF(状态转换表!I20&lt;&gt;"",IF(状态转换表!I20=1,状态转换表!I$2&amp;"&amp;",IF(状态转换表!I20=0,"~"&amp;状态转换表!I$2&amp;"&amp;","")),"")</x:f>
      </x:c>
      <x:c r="I19" s="48" t="e">
        <x:f>IF(状态转换表!J20&lt;&gt;"",IF(状态转换表!J20=1,状态转换表!J$2&amp;"&amp;",IF(状态转换表!J20=0,"~"&amp;状态转换表!J$2&amp;"&amp;","")),"")</x:f>
      </x:c>
      <x:c r="J19" s="48" t="e">
        <x:f>IF(状态转换表!K20&lt;&gt;"",IF(状态转换表!K20=1,状态转换表!K$2&amp;"&amp;",IF(状态转换表!K20=0,"~"&amp;状态转换表!K$2&amp;"&amp;","")),"")</x:f>
      </x:c>
      <x:c r="K19" s="48" t="e">
        <x:f>IF(状态转换表!L20&lt;&gt;"",IF(状态转换表!L20=1,状态转换表!L$2&amp;"&amp;",IF(状态转换表!L20=0,"~"&amp;状态转换表!L$2&amp;"&amp;","")),"")</x:f>
      </x:c>
      <x:c r="L19" s="59" t="e">
        <x:f>IF(状态转换表!M20&lt;&gt;"",IF(状态转换表!M20=1,状态转换表!M$2&amp;"&amp;",IF(状态转换表!M20=0,"~"&amp;状态转换表!M$2&amp;"&amp;","")),"")</x:f>
      </x:c>
      <x:c r="M19" s="58" t="str">
        <x:f t="shared" si="0"/>
      </x:c>
      <x:c r="N19" s="17" t="e">
        <x:f>IF(状态转换表!O20=1,$M19&amp;"+","")</x:f>
      </x:c>
      <x:c r="O19" s="17" t="e">
        <x:f>IF(状态转换表!P20=1,$M19&amp;"+","")</x:f>
      </x:c>
      <x:c r="P19" s="17" t="e">
        <x:f>IF(状态转换表!Q20=1,$M19&amp;"+","")</x:f>
      </x:c>
      <x:c r="Q19" s="17" t="e">
        <x:f>IF(状态转换表!R20=1,$M19&amp;"+","")</x:f>
      </x:c>
    </x:row>
    <x:row r="20">
      <x:c r="A20" s="44" t="e">
        <x:f>IF(状态转换表!A21=1,状态转换表!A$2&amp;"&amp;",IF(状态转换表!A21=0,"~"&amp;状态转换表!A$2&amp;"&amp;",""))</x:f>
      </x:c>
      <x:c r="B20" s="48" t="e">
        <x:f>IF(状态转换表!B21=1,状态转换表!B$2&amp;"&amp;",IF(状态转换表!B21=0,"~"&amp;状态转换表!B$2&amp;"&amp;",""))</x:f>
      </x:c>
      <x:c r="C20" s="48" t="e">
        <x:f>IF(状态转换表!C21=1,状态转换表!C$2&amp;"&amp;",IF(状态转换表!C21=0,"~"&amp;状态转换表!C$2&amp;"&amp;",""))</x:f>
      </x:c>
      <x:c r="D20" s="49" t="e">
        <x:f>IF(状态转换表!D21=1,状态转换表!D$2&amp;"&amp;",IF(状态转换表!D21=0,"~"&amp;状态转换表!D$2&amp;"&amp;",""))</x:f>
      </x:c>
      <x:c r="E20" s="50" t="e">
        <x:f>IF(状态转换表!F21&lt;&gt;"",IF(状态转换表!F21=1,状态转换表!F$2&amp;"&amp;",IF(状态转换表!F21=0,"~"&amp;状态转换表!F$2&amp;"&amp;","")),"")</x:f>
      </x:c>
      <x:c r="F20" s="48" t="e">
        <x:f>IF(状态转换表!G21&lt;&gt;"",IF(状态转换表!G21=1,状态转换表!G$2&amp;"&amp;",IF(状态转换表!G21=0,"~"&amp;状态转换表!G$2&amp;"&amp;","")),"")</x:f>
      </x:c>
      <x:c r="G20" s="48" t="e">
        <x:f>IF(状态转换表!H21&lt;&gt;"",IF(状态转换表!H21=1,状态转换表!H$2&amp;"&amp;",IF(状态转换表!H21=0,"~"&amp;状态转换表!H$2&amp;"&amp;","")),"")</x:f>
      </x:c>
      <x:c r="H20" s="48" t="e">
        <x:f>IF(状态转换表!I21&lt;&gt;"",IF(状态转换表!I21=1,状态转换表!I$2&amp;"&amp;",IF(状态转换表!I21=0,"~"&amp;状态转换表!I$2&amp;"&amp;","")),"")</x:f>
      </x:c>
      <x:c r="I20" s="48" t="e">
        <x:f>IF(状态转换表!J21&lt;&gt;"",IF(状态转换表!J21=1,状态转换表!J$2&amp;"&amp;",IF(状态转换表!J21=0,"~"&amp;状态转换表!J$2&amp;"&amp;","")),"")</x:f>
      </x:c>
      <x:c r="J20" s="48" t="e">
        <x:f>IF(状态转换表!K21&lt;&gt;"",IF(状态转换表!K21=1,状态转换表!K$2&amp;"&amp;",IF(状态转换表!K21=0,"~"&amp;状态转换表!K$2&amp;"&amp;","")),"")</x:f>
      </x:c>
      <x:c r="K20" s="48" t="e">
        <x:f>IF(状态转换表!L21&lt;&gt;"",IF(状态转换表!L21=1,状态转换表!L$2&amp;"&amp;",IF(状态转换表!L21=0,"~"&amp;状态转换表!L$2&amp;"&amp;","")),"")</x:f>
      </x:c>
      <x:c r="L20" s="59" t="e">
        <x:f>IF(状态转换表!M21&lt;&gt;"",IF(状态转换表!M21=1,状态转换表!M$2&amp;"&amp;",IF(状态转换表!M21=0,"~"&amp;状态转换表!M$2&amp;"&amp;","")),"")</x:f>
      </x:c>
      <x:c r="M20" s="58" t="str">
        <x:f t="shared" si="0"/>
      </x:c>
      <x:c r="N20" s="17" t="e">
        <x:f>IF(状态转换表!O21=1,$M20&amp;"+","")</x:f>
      </x:c>
      <x:c r="O20" s="17" t="e">
        <x:f>IF(状态转换表!P21=1,$M20&amp;"+","")</x:f>
      </x:c>
      <x:c r="P20" s="17" t="e">
        <x:f>IF(状态转换表!Q21=1,$M20&amp;"+","")</x:f>
      </x:c>
      <x:c r="Q20" s="17" t="e">
        <x:f>IF(状态转换表!R21=1,$M20&amp;"+","")</x:f>
      </x:c>
    </x:row>
    <x:row r="21">
      <x:c r="A21" s="44" t="e">
        <x:f>IF(状态转换表!A22=1,状态转换表!A$2&amp;"&amp;",IF(状态转换表!A22=0,"~"&amp;状态转换表!A$2&amp;"&amp;",""))</x:f>
      </x:c>
      <x:c r="B21" s="48" t="e">
        <x:f>IF(状态转换表!B22=1,状态转换表!B$2&amp;"&amp;",IF(状态转换表!B22=0,"~"&amp;状态转换表!B$2&amp;"&amp;",""))</x:f>
      </x:c>
      <x:c r="C21" s="48" t="e">
        <x:f>IF(状态转换表!C22=1,状态转换表!C$2&amp;"&amp;",IF(状态转换表!C22=0,"~"&amp;状态转换表!C$2&amp;"&amp;",""))</x:f>
      </x:c>
      <x:c r="D21" s="49" t="e">
        <x:f>IF(状态转换表!D22=1,状态转换表!D$2&amp;"&amp;",IF(状态转换表!D22=0,"~"&amp;状态转换表!D$2&amp;"&amp;",""))</x:f>
      </x:c>
      <x:c r="E21" s="50" t="e">
        <x:f>IF(状态转换表!F22&lt;&gt;"",IF(状态转换表!F22=1,状态转换表!F$2&amp;"&amp;",IF(状态转换表!F22=0,"~"&amp;状态转换表!F$2&amp;"&amp;","")),"")</x:f>
      </x:c>
      <x:c r="F21" s="48" t="e">
        <x:f>IF(状态转换表!G22&lt;&gt;"",IF(状态转换表!G22=1,状态转换表!G$2&amp;"&amp;",IF(状态转换表!G22=0,"~"&amp;状态转换表!G$2&amp;"&amp;","")),"")</x:f>
      </x:c>
      <x:c r="G21" s="48" t="e">
        <x:f>IF(状态转换表!H22&lt;&gt;"",IF(状态转换表!H22=1,状态转换表!H$2&amp;"&amp;",IF(状态转换表!H22=0,"~"&amp;状态转换表!H$2&amp;"&amp;","")),"")</x:f>
      </x:c>
      <x:c r="H21" s="48" t="e">
        <x:f>IF(状态转换表!I22&lt;&gt;"",IF(状态转换表!I22=1,状态转换表!I$2&amp;"&amp;",IF(状态转换表!I22=0,"~"&amp;状态转换表!I$2&amp;"&amp;","")),"")</x:f>
      </x:c>
      <x:c r="I21" s="48" t="e">
        <x:f>IF(状态转换表!J22&lt;&gt;"",IF(状态转换表!J22=1,状态转换表!J$2&amp;"&amp;",IF(状态转换表!J22=0,"~"&amp;状态转换表!J$2&amp;"&amp;","")),"")</x:f>
      </x:c>
      <x:c r="J21" s="48" t="e">
        <x:f>IF(状态转换表!K22&lt;&gt;"",IF(状态转换表!K22=1,状态转换表!K$2&amp;"&amp;",IF(状态转换表!K22=0,"~"&amp;状态转换表!K$2&amp;"&amp;","")),"")</x:f>
      </x:c>
      <x:c r="K21" s="48" t="e">
        <x:f>IF(状态转换表!L22&lt;&gt;"",IF(状态转换表!L22=1,状态转换表!L$2&amp;"&amp;",IF(状态转换表!L22=0,"~"&amp;状态转换表!L$2&amp;"&amp;","")),"")</x:f>
      </x:c>
      <x:c r="L21" s="59" t="e">
        <x:f>IF(状态转换表!M22&lt;&gt;"",IF(状态转换表!M22=1,状态转换表!M$2&amp;"&amp;",IF(状态转换表!M22=0,"~"&amp;状态转换表!M$2&amp;"&amp;","")),"")</x:f>
      </x:c>
      <x:c r="M21" s="58" t="str">
        <x:f t="shared" si="0"/>
      </x:c>
      <x:c r="N21" s="17" t="e">
        <x:f>IF(状态转换表!O22=1,$M21&amp;"+","")</x:f>
      </x:c>
      <x:c r="O21" s="17" t="e">
        <x:f>IF(状态转换表!P22=1,$M21&amp;"+","")</x:f>
      </x:c>
      <x:c r="P21" s="17" t="e">
        <x:f>IF(状态转换表!Q22=1,$M21&amp;"+","")</x:f>
      </x:c>
      <x:c r="Q21" s="17" t="e">
        <x:f>IF(状态转换表!R22=1,$M21&amp;"+","")</x:f>
      </x:c>
    </x:row>
    <x:row r="22">
      <x:c r="A22" s="44" t="e">
        <x:f>IF(状态转换表!A23=1,状态转换表!A$2&amp;"&amp;",IF(状态转换表!A23=0,"~"&amp;状态转换表!A$2&amp;"&amp;",""))</x:f>
      </x:c>
      <x:c r="B22" s="48" t="e">
        <x:f>IF(状态转换表!B23=1,状态转换表!B$2&amp;"&amp;",IF(状态转换表!B23=0,"~"&amp;状态转换表!B$2&amp;"&amp;",""))</x:f>
      </x:c>
      <x:c r="C22" s="48" t="e">
        <x:f>IF(状态转换表!C23=1,状态转换表!C$2&amp;"&amp;",IF(状态转换表!C23=0,"~"&amp;状态转换表!C$2&amp;"&amp;",""))</x:f>
      </x:c>
      <x:c r="D22" s="49" t="e">
        <x:f>IF(状态转换表!D23=1,状态转换表!D$2&amp;"&amp;",IF(状态转换表!D23=0,"~"&amp;状态转换表!D$2&amp;"&amp;",""))</x:f>
      </x:c>
      <x:c r="E22" s="50" t="e">
        <x:f>IF(状态转换表!F23&lt;&gt;"",IF(状态转换表!F23=1,状态转换表!F$2&amp;"&amp;",IF(状态转换表!F23=0,"~"&amp;状态转换表!F$2&amp;"&amp;","")),"")</x:f>
      </x:c>
      <x:c r="F22" s="48" t="e">
        <x:f>IF(状态转换表!G23&lt;&gt;"",IF(状态转换表!G23=1,状态转换表!G$2&amp;"&amp;",IF(状态转换表!G23=0,"~"&amp;状态转换表!G$2&amp;"&amp;","")),"")</x:f>
      </x:c>
      <x:c r="G22" s="48" t="e">
        <x:f>IF(状态转换表!H23&lt;&gt;"",IF(状态转换表!H23=1,状态转换表!H$2&amp;"&amp;",IF(状态转换表!H23=0,"~"&amp;状态转换表!H$2&amp;"&amp;","")),"")</x:f>
      </x:c>
      <x:c r="H22" s="48" t="e">
        <x:f>IF(状态转换表!I23&lt;&gt;"",IF(状态转换表!I23=1,状态转换表!I$2&amp;"&amp;",IF(状态转换表!I23=0,"~"&amp;状态转换表!I$2&amp;"&amp;","")),"")</x:f>
      </x:c>
      <x:c r="I22" s="48" t="e">
        <x:f>IF(状态转换表!J23&lt;&gt;"",IF(状态转换表!J23=1,状态转换表!J$2&amp;"&amp;",IF(状态转换表!J23=0,"~"&amp;状态转换表!J$2&amp;"&amp;","")),"")</x:f>
      </x:c>
      <x:c r="J22" s="48" t="e">
        <x:f>IF(状态转换表!K23&lt;&gt;"",IF(状态转换表!K23=1,状态转换表!K$2&amp;"&amp;",IF(状态转换表!K23=0,"~"&amp;状态转换表!K$2&amp;"&amp;","")),"")</x:f>
      </x:c>
      <x:c r="K22" s="48" t="e">
        <x:f>IF(状态转换表!L23&lt;&gt;"",IF(状态转换表!L23=1,状态转换表!L$2&amp;"&amp;",IF(状态转换表!L23=0,"~"&amp;状态转换表!L$2&amp;"&amp;","")),"")</x:f>
      </x:c>
      <x:c r="L22" s="59" t="e">
        <x:f>IF(状态转换表!M23&lt;&gt;"",IF(状态转换表!M23=1,状态转换表!M$2&amp;"&amp;",IF(状态转换表!M23=0,"~"&amp;状态转换表!M$2&amp;"&amp;","")),"")</x:f>
      </x:c>
      <x:c r="M22" s="58" t="str">
        <x:f t="shared" si="0"/>
      </x:c>
      <x:c r="N22" s="17" t="e">
        <x:f>IF(状态转换表!O23=1,$M22&amp;"+","")</x:f>
      </x:c>
      <x:c r="O22" s="17" t="e">
        <x:f>IF(状态转换表!P23=1,$M22&amp;"+","")</x:f>
      </x:c>
      <x:c r="P22" s="17" t="e">
        <x:f>IF(状态转换表!Q23=1,$M22&amp;"+","")</x:f>
      </x:c>
      <x:c r="Q22" s="17" t="e">
        <x:f>IF(状态转换表!R23=1,$M22&amp;"+","")</x:f>
      </x:c>
    </x:row>
    <x:row r="23">
      <x:c r="A23" s="44" t="e">
        <x:f>IF(状态转换表!A24=1,状态转换表!A$2&amp;"&amp;",IF(状态转换表!A24=0,"~"&amp;状态转换表!A$2&amp;"&amp;",""))</x:f>
      </x:c>
      <x:c r="B23" s="48" t="e">
        <x:f>IF(状态转换表!B24=1,状态转换表!B$2&amp;"&amp;",IF(状态转换表!B24=0,"~"&amp;状态转换表!B$2&amp;"&amp;",""))</x:f>
      </x:c>
      <x:c r="C23" s="48" t="e">
        <x:f>IF(状态转换表!C24=1,状态转换表!C$2&amp;"&amp;",IF(状态转换表!C24=0,"~"&amp;状态转换表!C$2&amp;"&amp;",""))</x:f>
      </x:c>
      <x:c r="D23" s="49" t="e">
        <x:f>IF(状态转换表!D24=1,状态转换表!D$2&amp;"&amp;",IF(状态转换表!D24=0,"~"&amp;状态转换表!D$2&amp;"&amp;",""))</x:f>
      </x:c>
      <x:c r="E23" s="50" t="e">
        <x:f>IF(状态转换表!F24&lt;&gt;"",IF(状态转换表!F24=1,状态转换表!F$2&amp;"&amp;",IF(状态转换表!F24=0,"~"&amp;状态转换表!F$2&amp;"&amp;","")),"")</x:f>
      </x:c>
      <x:c r="F23" s="48" t="e">
        <x:f>IF(状态转换表!G24&lt;&gt;"",IF(状态转换表!G24=1,状态转换表!G$2&amp;"&amp;",IF(状态转换表!G24=0,"~"&amp;状态转换表!G$2&amp;"&amp;","")),"")</x:f>
      </x:c>
      <x:c r="G23" s="48" t="e">
        <x:f>IF(状态转换表!H24&lt;&gt;"",IF(状态转换表!H24=1,状态转换表!H$2&amp;"&amp;",IF(状态转换表!H24=0,"~"&amp;状态转换表!H$2&amp;"&amp;","")),"")</x:f>
      </x:c>
      <x:c r="H23" s="48" t="e">
        <x:f>IF(状态转换表!I24&lt;&gt;"",IF(状态转换表!I24=1,状态转换表!I$2&amp;"&amp;",IF(状态转换表!I24=0,"~"&amp;状态转换表!I$2&amp;"&amp;","")),"")</x:f>
      </x:c>
      <x:c r="I23" s="48" t="e">
        <x:f>IF(状态转换表!J24&lt;&gt;"",IF(状态转换表!J24=1,状态转换表!J$2&amp;"&amp;",IF(状态转换表!J24=0,"~"&amp;状态转换表!J$2&amp;"&amp;","")),"")</x:f>
      </x:c>
      <x:c r="J23" s="48" t="e">
        <x:f>IF(状态转换表!K24&lt;&gt;"",IF(状态转换表!K24=1,状态转换表!K$2&amp;"&amp;",IF(状态转换表!K24=0,"~"&amp;状态转换表!K$2&amp;"&amp;","")),"")</x:f>
      </x:c>
      <x:c r="K23" s="48" t="e">
        <x:f>IF(状态转换表!L24&lt;&gt;"",IF(状态转换表!L24=1,状态转换表!L$2&amp;"&amp;",IF(状态转换表!L24=0,"~"&amp;状态转换表!L$2&amp;"&amp;","")),"")</x:f>
      </x:c>
      <x:c r="L23" s="59" t="e">
        <x:f>IF(状态转换表!M24&lt;&gt;"",IF(状态转换表!M24=1,状态转换表!M$2&amp;"&amp;",IF(状态转换表!M24=0,"~"&amp;状态转换表!M$2&amp;"&amp;","")),"")</x:f>
      </x:c>
      <x:c r="M23" s="58" t="str">
        <x:f t="shared" si="0"/>
      </x:c>
      <x:c r="N23" s="17" t="e">
        <x:f>IF(状态转换表!O24=1,$M23&amp;"+","")</x:f>
      </x:c>
      <x:c r="O23" s="17" t="e">
        <x:f>IF(状态转换表!P24=1,$M23&amp;"+","")</x:f>
      </x:c>
      <x:c r="P23" s="17" t="e">
        <x:f>IF(状态转换表!Q24=1,$M23&amp;"+","")</x:f>
      </x:c>
      <x:c r="Q23" s="17" t="e">
        <x:f>IF(状态转换表!R24=1,$M23&amp;"+","")</x:f>
      </x:c>
    </x:row>
    <x:row r="24">
      <x:c r="A24" s="44" t="e">
        <x:f>IF(状态转换表!A25=1,状态转换表!A$2&amp;"&amp;",IF(状态转换表!A25=0,"~"&amp;状态转换表!A$2&amp;"&amp;",""))</x:f>
      </x:c>
      <x:c r="B24" s="48" t="e">
        <x:f>IF(状态转换表!B25=1,状态转换表!B$2&amp;"&amp;",IF(状态转换表!B25=0,"~"&amp;状态转换表!B$2&amp;"&amp;",""))</x:f>
      </x:c>
      <x:c r="C24" s="48" t="e">
        <x:f>IF(状态转换表!C25=1,状态转换表!C$2&amp;"&amp;",IF(状态转换表!C25=0,"~"&amp;状态转换表!C$2&amp;"&amp;",""))</x:f>
      </x:c>
      <x:c r="D24" s="49" t="e">
        <x:f>IF(状态转换表!D25=1,状态转换表!D$2&amp;"&amp;",IF(状态转换表!D25=0,"~"&amp;状态转换表!D$2&amp;"&amp;",""))</x:f>
      </x:c>
      <x:c r="E24" s="50" t="e">
        <x:f>IF(状态转换表!F25&lt;&gt;"",IF(状态转换表!F25=1,状态转换表!F$2&amp;"&amp;",IF(状态转换表!F25=0,"~"&amp;状态转换表!F$2&amp;"&amp;","")),"")</x:f>
      </x:c>
      <x:c r="F24" s="48" t="e">
        <x:f>IF(状态转换表!G25&lt;&gt;"",IF(状态转换表!G25=1,状态转换表!G$2&amp;"&amp;",IF(状态转换表!G25=0,"~"&amp;状态转换表!G$2&amp;"&amp;","")),"")</x:f>
      </x:c>
      <x:c r="G24" s="48" t="e">
        <x:f>IF(状态转换表!H25&lt;&gt;"",IF(状态转换表!H25=1,状态转换表!H$2&amp;"&amp;",IF(状态转换表!H25=0,"~"&amp;状态转换表!H$2&amp;"&amp;","")),"")</x:f>
      </x:c>
      <x:c r="H24" s="48" t="e">
        <x:f>IF(状态转换表!I25&lt;&gt;"",IF(状态转换表!I25=1,状态转换表!I$2&amp;"&amp;",IF(状态转换表!I25=0,"~"&amp;状态转换表!I$2&amp;"&amp;","")),"")</x:f>
      </x:c>
      <x:c r="I24" s="48" t="e">
        <x:f>IF(状态转换表!J25&lt;&gt;"",IF(状态转换表!J25=1,状态转换表!J$2&amp;"&amp;",IF(状态转换表!J25=0,"~"&amp;状态转换表!J$2&amp;"&amp;","")),"")</x:f>
      </x:c>
      <x:c r="J24" s="48" t="e">
        <x:f>IF(状态转换表!K25&lt;&gt;"",IF(状态转换表!K25=1,状态转换表!K$2&amp;"&amp;",IF(状态转换表!K25=0,"~"&amp;状态转换表!K$2&amp;"&amp;","")),"")</x:f>
      </x:c>
      <x:c r="K24" s="48" t="e">
        <x:f>IF(状态转换表!L25&lt;&gt;"",IF(状态转换表!L25=1,状态转换表!L$2&amp;"&amp;",IF(状态转换表!L25=0,"~"&amp;状态转换表!L$2&amp;"&amp;","")),"")</x:f>
      </x:c>
      <x:c r="L24" s="59" t="e">
        <x:f>IF(状态转换表!M25&lt;&gt;"",IF(状态转换表!M25=1,状态转换表!M$2&amp;"&amp;",IF(状态转换表!M25=0,"~"&amp;状态转换表!M$2&amp;"&amp;","")),"")</x:f>
      </x:c>
      <x:c r="M24" s="58" t="str">
        <x:f t="shared" si="0"/>
      </x:c>
      <x:c r="N24" s="17" t="e">
        <x:f>IF(状态转换表!O25=1,$M24&amp;"+","")</x:f>
      </x:c>
      <x:c r="O24" s="17" t="e">
        <x:f>IF(状态转换表!P25=1,$M24&amp;"+","")</x:f>
      </x:c>
      <x:c r="P24" s="17" t="e">
        <x:f>IF(状态转换表!Q25=1,$M24&amp;"+","")</x:f>
      </x:c>
      <x:c r="Q24" s="17" t="e">
        <x:f>IF(状态转换表!R25=1,$M24&amp;"+","")</x:f>
      </x:c>
    </x:row>
    <x:row r="25">
      <x:c r="A25" s="44" t="e">
        <x:f>IF(状态转换表!A26=1,状态转换表!A$2&amp;"&amp;",IF(状态转换表!A26=0,"~"&amp;状态转换表!A$2&amp;"&amp;",""))</x:f>
      </x:c>
      <x:c r="B25" s="48" t="e">
        <x:f>IF(状态转换表!B26=1,状态转换表!B$2&amp;"&amp;",IF(状态转换表!B26=0,"~"&amp;状态转换表!B$2&amp;"&amp;",""))</x:f>
      </x:c>
      <x:c r="C25" s="48" t="e">
        <x:f>IF(状态转换表!C26=1,状态转换表!C$2&amp;"&amp;",IF(状态转换表!C26=0,"~"&amp;状态转换表!C$2&amp;"&amp;",""))</x:f>
      </x:c>
      <x:c r="D25" s="49" t="e">
        <x:f>IF(状态转换表!D26=1,状态转换表!D$2&amp;"&amp;",IF(状态转换表!D26=0,"~"&amp;状态转换表!D$2&amp;"&amp;",""))</x:f>
      </x:c>
      <x:c r="E25" s="50" t="e">
        <x:f>IF(状态转换表!F26&lt;&gt;"",IF(状态转换表!F26=1,状态转换表!F$2&amp;"&amp;",IF(状态转换表!F26=0,"~"&amp;状态转换表!F$2&amp;"&amp;","")),"")</x:f>
      </x:c>
      <x:c r="F25" s="48" t="e">
        <x:f>IF(状态转换表!G26&lt;&gt;"",IF(状态转换表!G26=1,状态转换表!G$2&amp;"&amp;",IF(状态转换表!G26=0,"~"&amp;状态转换表!G$2&amp;"&amp;","")),"")</x:f>
      </x:c>
      <x:c r="G25" s="48" t="e">
        <x:f>IF(状态转换表!H26&lt;&gt;"",IF(状态转换表!H26=1,状态转换表!H$2&amp;"&amp;",IF(状态转换表!H26=0,"~"&amp;状态转换表!H$2&amp;"&amp;","")),"")</x:f>
      </x:c>
      <x:c r="H25" s="48" t="e">
        <x:f>IF(状态转换表!I26&lt;&gt;"",IF(状态转换表!I26=1,状态转换表!I$2&amp;"&amp;",IF(状态转换表!I26=0,"~"&amp;状态转换表!I$2&amp;"&amp;","")),"")</x:f>
      </x:c>
      <x:c r="I25" s="48" t="e">
        <x:f>IF(状态转换表!J26&lt;&gt;"",IF(状态转换表!J26=1,状态转换表!J$2&amp;"&amp;",IF(状态转换表!J26=0,"~"&amp;状态转换表!J$2&amp;"&amp;","")),"")</x:f>
      </x:c>
      <x:c r="J25" s="48" t="e">
        <x:f>IF(状态转换表!K26&lt;&gt;"",IF(状态转换表!K26=1,状态转换表!K$2&amp;"&amp;",IF(状态转换表!K26=0,"~"&amp;状态转换表!K$2&amp;"&amp;","")),"")</x:f>
      </x:c>
      <x:c r="K25" s="48" t="e">
        <x:f>IF(状态转换表!L26&lt;&gt;"",IF(状态转换表!L26=1,状态转换表!L$2&amp;"&amp;",IF(状态转换表!L26=0,"~"&amp;状态转换表!L$2&amp;"&amp;","")),"")</x:f>
      </x:c>
      <x:c r="L25" s="59" t="e">
        <x:f>IF(状态转换表!M26&lt;&gt;"",IF(状态转换表!M26=1,状态转换表!M$2&amp;"&amp;",IF(状态转换表!M26=0,"~"&amp;状态转换表!M$2&amp;"&amp;","")),"")</x:f>
      </x:c>
      <x:c r="M25" s="58" t="str">
        <x:f t="shared" si="0"/>
      </x:c>
      <x:c r="N25" s="17" t="e">
        <x:f>IF(状态转换表!O26=1,$M25&amp;"+","")</x:f>
      </x:c>
      <x:c r="O25" s="17" t="e">
        <x:f>IF(状态转换表!P26=1,$M25&amp;"+","")</x:f>
      </x:c>
      <x:c r="P25" s="17" t="e">
        <x:f>IF(状态转换表!Q26=1,$M25&amp;"+","")</x:f>
      </x:c>
      <x:c r="Q25" s="17" t="e">
        <x:f>IF(状态转换表!R26=1,$M25&amp;"+","")</x:f>
      </x:c>
    </x:row>
    <x:row r="26">
      <x:c r="A26" s="44" t="e">
        <x:f>IF(状态转换表!A27=1,状态转换表!A$2&amp;"&amp;",IF(状态转换表!A27=0,"~"&amp;状态转换表!A$2&amp;"&amp;",""))</x:f>
      </x:c>
      <x:c r="B26" s="48" t="e">
        <x:f>IF(状态转换表!B27=1,状态转换表!B$2&amp;"&amp;",IF(状态转换表!B27=0,"~"&amp;状态转换表!B$2&amp;"&amp;",""))</x:f>
      </x:c>
      <x:c r="C26" s="48" t="e">
        <x:f>IF(状态转换表!C27=1,状态转换表!C$2&amp;"&amp;",IF(状态转换表!C27=0,"~"&amp;状态转换表!C$2&amp;"&amp;",""))</x:f>
      </x:c>
      <x:c r="D26" s="49" t="e">
        <x:f>IF(状态转换表!D27=1,状态转换表!D$2&amp;"&amp;",IF(状态转换表!D27=0,"~"&amp;状态转换表!D$2&amp;"&amp;",""))</x:f>
      </x:c>
      <x:c r="E26" s="50" t="e">
        <x:f>IF(状态转换表!F27&lt;&gt;"",IF(状态转换表!F27=1,状态转换表!F$2&amp;"&amp;",IF(状态转换表!F27=0,"~"&amp;状态转换表!F$2&amp;"&amp;","")),"")</x:f>
      </x:c>
      <x:c r="F26" s="48" t="e">
        <x:f>IF(状态转换表!G27&lt;&gt;"",IF(状态转换表!G27=1,状态转换表!G$2&amp;"&amp;",IF(状态转换表!G27=0,"~"&amp;状态转换表!G$2&amp;"&amp;","")),"")</x:f>
      </x:c>
      <x:c r="G26" s="48" t="e">
        <x:f>IF(状态转换表!H27&lt;&gt;"",IF(状态转换表!H27=1,状态转换表!H$2&amp;"&amp;",IF(状态转换表!H27=0,"~"&amp;状态转换表!H$2&amp;"&amp;","")),"")</x:f>
      </x:c>
      <x:c r="H26" s="48" t="e">
        <x:f>IF(状态转换表!I27&lt;&gt;"",IF(状态转换表!I27=1,状态转换表!I$2&amp;"&amp;",IF(状态转换表!I27=0,"~"&amp;状态转换表!I$2&amp;"&amp;","")),"")</x:f>
      </x:c>
      <x:c r="I26" s="48" t="e">
        <x:f>IF(状态转换表!J27&lt;&gt;"",IF(状态转换表!J27=1,状态转换表!J$2&amp;"&amp;",IF(状态转换表!J27=0,"~"&amp;状态转换表!J$2&amp;"&amp;","")),"")</x:f>
      </x:c>
      <x:c r="J26" s="48" t="e">
        <x:f>IF(状态转换表!K27&lt;&gt;"",IF(状态转换表!K27=1,状态转换表!K$2&amp;"&amp;",IF(状态转换表!K27=0,"~"&amp;状态转换表!K$2&amp;"&amp;","")),"")</x:f>
      </x:c>
      <x:c r="K26" s="48" t="e">
        <x:f>IF(状态转换表!L27&lt;&gt;"",IF(状态转换表!L27=1,状态转换表!L$2&amp;"&amp;",IF(状态转换表!L27=0,"~"&amp;状态转换表!L$2&amp;"&amp;","")),"")</x:f>
      </x:c>
      <x:c r="L26" s="59" t="e">
        <x:f>IF(状态转换表!M27&lt;&gt;"",IF(状态转换表!M27=1,状态转换表!M$2&amp;"&amp;",IF(状态转换表!M27=0,"~"&amp;状态转换表!M$2&amp;"&amp;","")),"")</x:f>
      </x:c>
      <x:c r="M26" s="58" t="str">
        <x:f t="shared" si="0"/>
      </x:c>
      <x:c r="N26" s="17" t="e">
        <x:f>IF(状态转换表!O27=1,$M26&amp;"+","")</x:f>
      </x:c>
      <x:c r="O26" s="17" t="e">
        <x:f>IF(状态转换表!P27=1,$M26&amp;"+","")</x:f>
      </x:c>
      <x:c r="P26" s="17" t="e">
        <x:f>IF(状态转换表!Q27=1,$M26&amp;"+","")</x:f>
      </x:c>
      <x:c r="Q26" s="17" t="e">
        <x:f>IF(状态转换表!R27=1,$M26&amp;"+","")</x:f>
      </x:c>
    </x:row>
    <x:row r="27">
      <x:c r="A27" s="44" t="e">
        <x:f>IF(状态转换表!A28=1,状态转换表!A$2&amp;"&amp;",IF(状态转换表!A28=0,"~"&amp;状态转换表!A$2&amp;"&amp;",""))</x:f>
      </x:c>
      <x:c r="B27" s="48" t="e">
        <x:f>IF(状态转换表!B28=1,状态转换表!B$2&amp;"&amp;",IF(状态转换表!B28=0,"~"&amp;状态转换表!B$2&amp;"&amp;",""))</x:f>
      </x:c>
      <x:c r="C27" s="48" t="e">
        <x:f>IF(状态转换表!C28=1,状态转换表!C$2&amp;"&amp;",IF(状态转换表!C28=0,"~"&amp;状态转换表!C$2&amp;"&amp;",""))</x:f>
      </x:c>
      <x:c r="D27" s="49" t="e">
        <x:f>IF(状态转换表!D28=1,状态转换表!D$2&amp;"&amp;",IF(状态转换表!D28=0,"~"&amp;状态转换表!D$2&amp;"&amp;",""))</x:f>
      </x:c>
      <x:c r="E27" s="50" t="e">
        <x:f>IF(状态转换表!F28&lt;&gt;"",IF(状态转换表!F28=1,状态转换表!F$2&amp;"&amp;",IF(状态转换表!F28=0,"~"&amp;状态转换表!F$2&amp;"&amp;","")),"")</x:f>
      </x:c>
      <x:c r="F27" s="48" t="e">
        <x:f>IF(状态转换表!G28&lt;&gt;"",IF(状态转换表!G28=1,状态转换表!G$2&amp;"&amp;",IF(状态转换表!G28=0,"~"&amp;状态转换表!G$2&amp;"&amp;","")),"")</x:f>
      </x:c>
      <x:c r="G27" s="48" t="e">
        <x:f>IF(状态转换表!H28&lt;&gt;"",IF(状态转换表!H28=1,状态转换表!H$2&amp;"&amp;",IF(状态转换表!H28=0,"~"&amp;状态转换表!H$2&amp;"&amp;","")),"")</x:f>
      </x:c>
      <x:c r="H27" s="48" t="e">
        <x:f>IF(状态转换表!I28&lt;&gt;"",IF(状态转换表!I28=1,状态转换表!I$2&amp;"&amp;",IF(状态转换表!I28=0,"~"&amp;状态转换表!I$2&amp;"&amp;","")),"")</x:f>
      </x:c>
      <x:c r="I27" s="48" t="e">
        <x:f>IF(状态转换表!J28&lt;&gt;"",IF(状态转换表!J28=1,状态转换表!J$2&amp;"&amp;",IF(状态转换表!J28=0,"~"&amp;状态转换表!J$2&amp;"&amp;","")),"")</x:f>
      </x:c>
      <x:c r="J27" s="48" t="e">
        <x:f>IF(状态转换表!K28&lt;&gt;"",IF(状态转换表!K28=1,状态转换表!K$2&amp;"&amp;",IF(状态转换表!K28=0,"~"&amp;状态转换表!K$2&amp;"&amp;","")),"")</x:f>
      </x:c>
      <x:c r="K27" s="48" t="e">
        <x:f>IF(状态转换表!L28&lt;&gt;"",IF(状态转换表!L28=1,状态转换表!L$2&amp;"&amp;",IF(状态转换表!L28=0,"~"&amp;状态转换表!L$2&amp;"&amp;","")),"")</x:f>
      </x:c>
      <x:c r="L27" s="59" t="e">
        <x:f>IF(状态转换表!M28&lt;&gt;"",IF(状态转换表!M28=1,状态转换表!M$2&amp;"&amp;",IF(状态转换表!M28=0,"~"&amp;状态转换表!M$2&amp;"&amp;","")),"")</x:f>
      </x:c>
      <x:c r="M27" s="58" t="str">
        <x:f t="shared" si="0"/>
      </x:c>
      <x:c r="N27" s="17" t="e">
        <x:f>IF(状态转换表!O28=1,$M27&amp;"+","")</x:f>
      </x:c>
      <x:c r="O27" s="17" t="e">
        <x:f>IF(状态转换表!P28=1,$M27&amp;"+","")</x:f>
      </x:c>
      <x:c r="P27" s="17" t="e">
        <x:f>IF(状态转换表!Q28=1,$M27&amp;"+","")</x:f>
      </x:c>
      <x:c r="Q27" s="17" t="e">
        <x:f>IF(状态转换表!R28=1,$M27&amp;"+","")</x:f>
      </x:c>
    </x:row>
    <x:row r="28">
      <x:c r="A28" s="44" t="e">
        <x:f>IF(状态转换表!A29=1,状态转换表!A$2&amp;"&amp;",IF(状态转换表!A29=0,"~"&amp;状态转换表!A$2&amp;"&amp;",""))</x:f>
      </x:c>
      <x:c r="B28" s="48" t="e">
        <x:f>IF(状态转换表!B29=1,状态转换表!B$2&amp;"&amp;",IF(状态转换表!B29=0,"~"&amp;状态转换表!B$2&amp;"&amp;",""))</x:f>
      </x:c>
      <x:c r="C28" s="48" t="e">
        <x:f>IF(状态转换表!C29=1,状态转换表!C$2&amp;"&amp;",IF(状态转换表!C29=0,"~"&amp;状态转换表!C$2&amp;"&amp;",""))</x:f>
      </x:c>
      <x:c r="D28" s="49" t="e">
        <x:f>IF(状态转换表!D29=1,状态转换表!D$2&amp;"&amp;",IF(状态转换表!D29=0,"~"&amp;状态转换表!D$2&amp;"&amp;",""))</x:f>
      </x:c>
      <x:c r="E28" s="50" t="e">
        <x:f>IF(状态转换表!F29&lt;&gt;"",IF(状态转换表!F29=1,状态转换表!F$2&amp;"&amp;",IF(状态转换表!F29=0,"~"&amp;状态转换表!F$2&amp;"&amp;","")),"")</x:f>
      </x:c>
      <x:c r="F28" s="48" t="e">
        <x:f>IF(状态转换表!G29&lt;&gt;"",IF(状态转换表!G29=1,状态转换表!G$2&amp;"&amp;",IF(状态转换表!G29=0,"~"&amp;状态转换表!G$2&amp;"&amp;","")),"")</x:f>
      </x:c>
      <x:c r="G28" s="48" t="e">
        <x:f>IF(状态转换表!H29&lt;&gt;"",IF(状态转换表!H29=1,状态转换表!H$2&amp;"&amp;",IF(状态转换表!H29=0,"~"&amp;状态转换表!H$2&amp;"&amp;","")),"")</x:f>
      </x:c>
      <x:c r="H28" s="48" t="e">
        <x:f>IF(状态转换表!I29&lt;&gt;"",IF(状态转换表!I29=1,状态转换表!I$2&amp;"&amp;",IF(状态转换表!I29=0,"~"&amp;状态转换表!I$2&amp;"&amp;","")),"")</x:f>
      </x:c>
      <x:c r="I28" s="48" t="e">
        <x:f>IF(状态转换表!J29&lt;&gt;"",IF(状态转换表!J29=1,状态转换表!J$2&amp;"&amp;",IF(状态转换表!J29=0,"~"&amp;状态转换表!J$2&amp;"&amp;","")),"")</x:f>
      </x:c>
      <x:c r="J28" s="48" t="e">
        <x:f>IF(状态转换表!K29&lt;&gt;"",IF(状态转换表!K29=1,状态转换表!K$2&amp;"&amp;",IF(状态转换表!K29=0,"~"&amp;状态转换表!K$2&amp;"&amp;","")),"")</x:f>
      </x:c>
      <x:c r="K28" s="48" t="e">
        <x:f>IF(状态转换表!L29&lt;&gt;"",IF(状态转换表!L29=1,状态转换表!L$2&amp;"&amp;",IF(状态转换表!L29=0,"~"&amp;状态转换表!L$2&amp;"&amp;","")),"")</x:f>
      </x:c>
      <x:c r="L28" s="59" t="e">
        <x:f>IF(状态转换表!M29&lt;&gt;"",IF(状态转换表!M29=1,状态转换表!M$2&amp;"&amp;",IF(状态转换表!M29=0,"~"&amp;状态转换表!M$2&amp;"&amp;","")),"")</x:f>
      </x:c>
      <x:c r="M28" s="58" t="str">
        <x:f t="shared" si="0"/>
      </x:c>
      <x:c r="N28" s="17" t="e">
        <x:f>IF(状态转换表!O29=1,$M28&amp;"+","")</x:f>
      </x:c>
      <x:c r="O28" s="17" t="e">
        <x:f>IF(状态转换表!P29=1,$M28&amp;"+","")</x:f>
      </x:c>
      <x:c r="P28" s="17" t="e">
        <x:f>IF(状态转换表!Q29=1,$M28&amp;"+","")</x:f>
      </x:c>
      <x:c r="Q28" s="17" t="e">
        <x:f>IF(状态转换表!R29=1,$M28&amp;"+","")</x:f>
      </x:c>
    </x:row>
    <x:row r="29">
      <x:c r="A29" s="44" t="e">
        <x:f>IF(状态转换表!A30=1,状态转换表!A$2&amp;"&amp;",IF(状态转换表!A30=0,"~"&amp;状态转换表!A$2&amp;"&amp;",""))</x:f>
      </x:c>
      <x:c r="B29" s="48" t="e">
        <x:f>IF(状态转换表!B30=1,状态转换表!B$2&amp;"&amp;",IF(状态转换表!B30=0,"~"&amp;状态转换表!B$2&amp;"&amp;",""))</x:f>
      </x:c>
      <x:c r="C29" s="48" t="e">
        <x:f>IF(状态转换表!C30=1,状态转换表!C$2&amp;"&amp;",IF(状态转换表!C30=0,"~"&amp;状态转换表!C$2&amp;"&amp;",""))</x:f>
      </x:c>
      <x:c r="D29" s="49" t="e">
        <x:f>IF(状态转换表!D30=1,状态转换表!D$2&amp;"&amp;",IF(状态转换表!D30=0,"~"&amp;状态转换表!D$2&amp;"&amp;",""))</x:f>
      </x:c>
      <x:c r="E29" s="50" t="e">
        <x:f>IF(状态转换表!F30&lt;&gt;"",IF(状态转换表!F30=1,状态转换表!F$2&amp;"&amp;",IF(状态转换表!F30=0,"~"&amp;状态转换表!F$2&amp;"&amp;","")),"")</x:f>
      </x:c>
      <x:c r="F29" s="48" t="e">
        <x:f>IF(状态转换表!G30&lt;&gt;"",IF(状态转换表!G30=1,状态转换表!G$2&amp;"&amp;",IF(状态转换表!G30=0,"~"&amp;状态转换表!G$2&amp;"&amp;","")),"")</x:f>
      </x:c>
      <x:c r="G29" s="48" t="e">
        <x:f>IF(状态转换表!H30&lt;&gt;"",IF(状态转换表!H30=1,状态转换表!H$2&amp;"&amp;",IF(状态转换表!H30=0,"~"&amp;状态转换表!H$2&amp;"&amp;","")),"")</x:f>
      </x:c>
      <x:c r="H29" s="48" t="e">
        <x:f>IF(状态转换表!I30&lt;&gt;"",IF(状态转换表!I30=1,状态转换表!I$2&amp;"&amp;",IF(状态转换表!I30=0,"~"&amp;状态转换表!I$2&amp;"&amp;","")),"")</x:f>
      </x:c>
      <x:c r="I29" s="48" t="e">
        <x:f>IF(状态转换表!J30&lt;&gt;"",IF(状态转换表!J30=1,状态转换表!J$2&amp;"&amp;",IF(状态转换表!J30=0,"~"&amp;状态转换表!J$2&amp;"&amp;","")),"")</x:f>
      </x:c>
      <x:c r="J29" s="48" t="e">
        <x:f>IF(状态转换表!K30&lt;&gt;"",IF(状态转换表!K30=1,状态转换表!K$2&amp;"&amp;",IF(状态转换表!K30=0,"~"&amp;状态转换表!K$2&amp;"&amp;","")),"")</x:f>
      </x:c>
      <x:c r="K29" s="48" t="e">
        <x:f>IF(状态转换表!L30&lt;&gt;"",IF(状态转换表!L30=1,状态转换表!L$2&amp;"&amp;",IF(状态转换表!L30=0,"~"&amp;状态转换表!L$2&amp;"&amp;","")),"")</x:f>
      </x:c>
      <x:c r="L29" s="59" t="e">
        <x:f>IF(状态转换表!M30&lt;&gt;"",IF(状态转换表!M30=1,状态转换表!M$2&amp;"&amp;",IF(状态转换表!M30=0,"~"&amp;状态转换表!M$2&amp;"&amp;","")),"")</x:f>
      </x:c>
      <x:c r="M29" s="58" t="str">
        <x:f t="shared" si="0"/>
      </x:c>
      <x:c r="N29" s="17" t="e">
        <x:f>IF(状态转换表!O30=1,$M29&amp;"+","")</x:f>
      </x:c>
      <x:c r="O29" s="17" t="e">
        <x:f>IF(状态转换表!P30=1,$M29&amp;"+","")</x:f>
      </x:c>
      <x:c r="P29" s="17" t="e">
        <x:f>IF(状态转换表!Q30=1,$M29&amp;"+","")</x:f>
      </x:c>
      <x:c r="Q29" s="17" t="e">
        <x:f>IF(状态转换表!R30=1,$M29&amp;"+","")</x:f>
      </x:c>
    </x:row>
    <x:row r="30">
      <x:c r="A30" s="44" t="e">
        <x:f>IF(状态转换表!A31=1,状态转换表!A$2&amp;"&amp;",IF(状态转换表!A31=0,"~"&amp;状态转换表!A$2&amp;"&amp;",""))</x:f>
      </x:c>
      <x:c r="B30" s="51" t="e">
        <x:f>IF(状态转换表!B31=1,状态转换表!B$2&amp;"&amp;",IF(状态转换表!B31=0,"~"&amp;状态转换表!B$2&amp;"&amp;",""))</x:f>
      </x:c>
      <x:c r="C30" s="51" t="e">
        <x:f>IF(状态转换表!C31=1,状态转换表!C$2&amp;"&amp;",IF(状态转换表!C31=0,"~"&amp;状态转换表!C$2&amp;"&amp;",""))</x:f>
      </x:c>
      <x:c r="D30" s="52" t="e">
        <x:f>IF(状态转换表!D31=1,状态转换表!D$2&amp;"&amp;",IF(状态转换表!D31=0,"~"&amp;状态转换表!D$2&amp;"&amp;",""))</x:f>
      </x:c>
      <x:c r="E30" s="50" t="e">
        <x:f>IF(状态转换表!F31&lt;&gt;"",IF(状态转换表!F31=1,状态转换表!F$2&amp;"&amp;",IF(状态转换表!F31=0,"~"&amp;状态转换表!F$2&amp;"&amp;","")),"")</x:f>
      </x:c>
      <x:c r="F30" s="48" t="e">
        <x:f>IF(状态转换表!G31&lt;&gt;"",IF(状态转换表!G31=1,状态转换表!G$2&amp;"&amp;",IF(状态转换表!G31=0,"~"&amp;状态转换表!G$2&amp;"&amp;","")),"")</x:f>
      </x:c>
      <x:c r="G30" s="48" t="e">
        <x:f>IF(状态转换表!H31&lt;&gt;"",IF(状态转换表!H31=1,状态转换表!H$2&amp;"&amp;",IF(状态转换表!H31=0,"~"&amp;状态转换表!H$2&amp;"&amp;","")),"")</x:f>
      </x:c>
      <x:c r="H30" s="48" t="e">
        <x:f>IF(状态转换表!I31&lt;&gt;"",IF(状态转换表!I31=1,状态转换表!I$2&amp;"&amp;",IF(状态转换表!I31=0,"~"&amp;状态转换表!I$2&amp;"&amp;","")),"")</x:f>
      </x:c>
      <x:c r="I30" s="48" t="e">
        <x:f>IF(状态转换表!J31&lt;&gt;"",IF(状态转换表!J31=1,状态转换表!J$2&amp;"&amp;",IF(状态转换表!J31=0,"~"&amp;状态转换表!J$2&amp;"&amp;","")),"")</x:f>
      </x:c>
      <x:c r="J30" s="48" t="e">
        <x:f>IF(状态转换表!K31&lt;&gt;"",IF(状态转换表!K31=1,状态转换表!K$2&amp;"&amp;",IF(状态转换表!K31=0,"~"&amp;状态转换表!K$2&amp;"&amp;","")),"")</x:f>
      </x:c>
      <x:c r="K30" s="48" t="e">
        <x:f>IF(状态转换表!L31&lt;&gt;"",IF(状态转换表!L31=1,状态转换表!L$2&amp;"&amp;",IF(状态转换表!L31=0,"~"&amp;状态转换表!L$2&amp;"&amp;","")),"")</x:f>
      </x:c>
      <x:c r="L30" s="59" t="e">
        <x:f>IF(状态转换表!M31&lt;&gt;"",IF(状态转换表!M31=1,状态转换表!M$2&amp;"&amp;",IF(状态转换表!M31=0,"~"&amp;状态转换表!M$2&amp;"&amp;","")),"")</x:f>
      </x:c>
      <x:c r="M30" s="58" t="str">
        <x:f t="shared" si="0"/>
      </x:c>
      <x:c r="N30" s="18" t="e">
        <x:f>IF(状态转换表!O31=1,$M30&amp;"+","")</x:f>
      </x:c>
      <x:c r="O30" s="18" t="e">
        <x:f>IF(状态转换表!P31=1,$M30&amp;"+","")</x:f>
      </x:c>
      <x:c r="P30" s="18" t="e">
        <x:f>IF(状态转换表!Q31=1,$M30&amp;"+","")</x:f>
      </x:c>
      <x:c r="Q30" s="18" t="e">
        <x:f>IF(状态转换表!R31=1,$M30&amp;"+","")</x:f>
      </x:c>
    </x:row>
    <x:row r="31" ht="16.5">
      <x:c r="A31" s="87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9"/>
      <x:c r="N31" s="20" t="e">
        <x:f>IF(LEN(N32)&gt;1,LEFT(N32,LEN(N32)-1),"")</x:f>
      </x:c>
      <x:c r="O31" s="20" t="e">
        <x:f>IF(LEN(O32)&gt;1,LEFT(O32,LEN(O32)-1),"")</x:f>
      </x:c>
      <x:c r="P31" s="20" t="e">
        <x:f>IF(LEN(P32)&gt;1,LEFT(P32,LEN(P32)-1),"")</x:f>
      </x:c>
      <x:c r="Q31" s="22" t="str">
        <x:f>IF(LEN(Q32)&gt;1,LEFT(Q32,LEN(Q32)-1),"")</x:f>
      </x:c>
    </x:row>
    <x:row r="32" ht="17.25" hidden="1" customHeight="1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60"/>
      <x:c r="N32" s="21" t="e">
        <x:f>CONCATENATE(N2,N3,N4,N5,N6,N7,N8,N9,N10,N11,N12,N13,N14,N15,N16,N17,N18,N19,N20,N21,N22,N23,N24,N25,N26,N27,N28,N29,N30)</x:f>
      </x:c>
      <x:c r="O32" s="21" t="e">
        <x:f t="shared" ref="O32:Q32" si="1">CONCATENATE(O2,O3,O4,O5,O6,O7,O8,O9,O10,O11,O12,O13,O14,O15,O16,O17,O18,O19,O20,O21,O22,O23,O24,O25,O26,O27,O28,O29,O30)</x:f>
      </x:c>
      <x:c r="P32" s="21" t="e">
        <x:f t="shared" ref="P32" si="2">CONCATENATE(P2,P3,P4,P5,P6,P7,P8,P9,P10,P11,P12,P13,P14,P15,P16,P17,P18,P19,P20,P21,P22,P23,P24,P25,P26,P27,P28,P29,P30)</x:f>
      </x:c>
      <x:c r="Q32" s="21" t="str">
        <x:f t="shared" si="1"/>
      </x:c>
    </x:row>
    <x:row r="34" ht="16.5">
      <x:c r="E34" s="90"/>
      <x:c r="F34" s="91"/>
      <x:c r="G34" s="91"/>
      <x:c r="H34" s="91"/>
      <x:c r="I34" s="91"/>
      <x:c r="J34" s="91"/>
      <x:c r="K34" s="91"/>
      <x:c r="L34" s="91"/>
      <x:c r="M34" s="91"/>
    </x:row>
    <x:row r="35" ht="16.5">
      <x:c r="C35" s="64"/>
      <x:c r="D35" s="12"/>
      <x:c r="E35" s="12"/>
      <x:c r="F35" s="12"/>
      <x:c r="G35" s="12"/>
      <x:c r="H35" s="12"/>
      <x:c r="I35" s="12"/>
      <x:c r="J35" s="12"/>
      <x:c r="K35" s="12"/>
      <x:c r="L35" s="12"/>
      <x:c r="M35" s="61"/>
    </x:row>
    <x:row r="36" ht="16.5">
      <x:c r="O36" s="12"/>
    </x:row>
  </x:sheetData>
  <x:mergeCells>
    <x:mergeCell ref="A31:M31"/>
    <x:mergeCell ref="E34:M34"/>
  </x:mergeCells>
  <x:conditionalFormatting sqref="N31:Q31">
    <x:cfRule type="containsBlanks" dxfId="8" priority="31">
      <x:formula>LEN(TRIM(N31))=0</x:formula>
    </x:cfRule>
  </x:conditionalFormatting>
  <x:conditionalFormatting sqref="N2:Q30">
    <x:cfRule type="containsText" dxfId="7" priority="30" operator="containsText" text="1">
      <x:formula>NOT(ISERROR(SEARCH("1",N2)))</x:formula>
    </x:cfRule>
  </x:conditionalFormatting>
  <x:dataValidations count="3">
    <x:dataValidation allowBlank="1" showInputMessage="1" showErrorMessage="1" promptTitle="次态状态位表达式" prompt="次态状态位逻辑表达式，复制到Logisim即可" sqref="N31:Q31"/>
    <x:dataValidation allowBlank="1" showInputMessage="1" showErrorMessage="1" promptTitle="次态状态位" prompt="次态状态位逻辑表达式生成" sqref="Q32:Q34 Q37:Q1048576 N32:P1048576"/>
    <x:dataValidation allowBlank="1" showInputMessage="1" showErrorMessage="1" promptTitle="次态状态位" prompt="次态状态位生成条件最小项" sqref="N1:Q3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theme="9" tint="-0.24998"/>
  </x:sheetPr>
  <x:sheetFormatPr defaultColWidth="9" defaultRowHeight="14"/>
  <x:cols>
    <x:col min="1" max="4" width="3.58203125" style="23" customWidth="1"/>
    <x:col min="5" max="5" width="7.58203125" style="23" customWidth="1"/>
    <x:col min="6" max="6" width="10.5" style="23" customWidth="1"/>
    <x:col min="7" max="17" width="8.58203125" style="23" customWidth="1"/>
  </x:cols>
  <x:sheetData>
    <x:row r="1" ht="16.5">
      <x:c r="A1" s="78" t="s">
        <x:v>0</x:v>
      </x:c>
      <x:c r="B1" s="78"/>
      <x:c r="C1" s="78"/>
      <x:c r="D1" s="78"/>
      <x:c r="E1" s="79"/>
      <x:c r="F1" s="92" t="s">
        <x:v>20</x:v>
      </x:c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</x:row>
    <x:row r="2" ht="30" customHeight="1">
      <x:c r="A2" s="24" t="s">
        <x:v>3</x:v>
      </x:c>
      <x:c r="B2" s="24" t="s">
        <x:v>4</x:v>
      </x:c>
      <x:c r="C2" s="24" t="s">
        <x:v>5</x:v>
      </x:c>
      <x:c r="D2" s="24" t="s">
        <x:v>6</x:v>
      </x:c>
      <x:c r="E2" s="25" t="s">
        <x:v>7</x:v>
      </x:c>
      <x:c r="F2" s="34" t="s">
        <x:v>21</x:v>
      </x:c>
      <x:c r="G2" s="35" t="s">
        <x:v>22</x:v>
      </x:c>
      <x:c r="H2" s="35" t="s">
        <x:v>23</x:v>
      </x:c>
      <x:c r="I2" s="35" t="s">
        <x:v>24</x:v>
      </x:c>
      <x:c r="J2" s="35" t="s">
        <x:v>25</x:v>
      </x:c>
      <x:c r="K2" s="35" t="s">
        <x:v>26</x:v>
      </x:c>
      <x:c r="L2" s="35" t="s">
        <x:v>27</x:v>
      </x:c>
      <x:c r="M2" s="35" t="s">
        <x:v>28</x:v>
      </x:c>
      <x:c r="N2" s="35" t="s">
        <x:v>29</x:v>
      </x:c>
      <x:c r="O2" s="35" t="s">
        <x:v>30</x:v>
      </x:c>
      <x:c r="P2" s="35" t="s">
        <x:v>31</x:v>
      </x:c>
      <x:c r="Q2" s="35" t="s">
        <x:v>32</x:v>
      </x:c>
    </x:row>
    <x:row r="3" ht="17">
      <x:c r="A3" s="26" t="n">
        <x:f>IF(ISNUMBER($E3),IF(MOD($E3,16)/8&gt;=1,1,0),"")</x:f>
        <x:v>0</x:v>
      </x:c>
      <x:c r="B3" s="26" t="n">
        <x:f>IF(ISNUMBER($E3),IF(MOD($E3,8)/4&gt;=1,1,0),"")</x:f>
        <x:v>0</x:v>
      </x:c>
      <x:c r="C3" s="26" t="n">
        <x:f>IF(ISNUMBER($E3),IF(MOD($E3,4)/2&gt;=1,1,0),"")</x:f>
        <x:v>0</x:v>
      </x:c>
      <x:c r="D3" s="26" t="n">
        <x:f>IF(ISNUMBER($E3),MOD($E3,2),"")</x:f>
        <x:v>0</x:v>
      </x:c>
      <x:c r="E3" s="27">
        <x:v>0</x:v>
      </x:c>
      <x:c r="F3" s="28">
        <x:v>1</x:v>
      </x:c>
      <x:c r="G3" s="29"/>
      <x:c r="H3" s="29"/>
      <x:c r="I3" s="29"/>
      <x:c r="J3" s="29">
        <x:v>1</x:v>
      </x:c>
      <x:c r="K3" s="29"/>
      <x:c r="L3" s="29"/>
      <x:c r="M3" s="29"/>
      <x:c r="N3" s="29"/>
      <x:c r="O3" s="29"/>
      <x:c r="P3" s="29"/>
      <x:c r="Q3" s="29"/>
    </x:row>
    <x:row r="4" ht="16.5">
      <x:c r="A4" s="30" t="n">
        <x:f t="shared" ref="A4:A31" si="0">IF(ISNUMBER($E4),IF(MOD($E4,16)/8&gt;=1,1,0),"")</x:f>
        <x:v>0</x:v>
      </x:c>
      <x:c r="B4" s="30" t="n">
        <x:f t="shared" ref="B4:B31" si="1">IF(ISNUMBER($E4),IF(MOD($E4,8)/4&gt;=1,1,0),"")</x:f>
        <x:v>0</x:v>
      </x:c>
      <x:c r="C4" s="30" t="n">
        <x:f t="shared" ref="C4:C31" si="2">IF(ISNUMBER($E4),IF(MOD($E4,4)/2&gt;=1,1,0),"")</x:f>
        <x:v>0</x:v>
      </x:c>
      <x:c r="D4" s="30" t="n">
        <x:f t="shared" ref="D4:D31" si="3">IF(ISNUMBER($E4),MOD($E4,2),"")</x:f>
        <x:v>1</x:v>
      </x:c>
      <x:c r="E4" s="31">
        <x:v>1</x:v>
      </x:c>
      <x:c r="F4" s="32">
        <x:v>1</x:v>
      </x:c>
      <x:c r="G4" s="33"/>
      <x:c r="H4" s="33"/>
      <x:c r="I4" s="33"/>
      <x:c r="J4" s="33"/>
      <x:c r="K4" s="33">
        <x:v>1</x:v>
      </x:c>
      <x:c r="L4" s="33"/>
      <x:c r="M4" s="33"/>
      <x:c r="N4" s="33"/>
      <x:c r="O4" s="33"/>
      <x:c r="P4" s="33"/>
      <x:c r="Q4" s="33"/>
    </x:row>
    <x:row r="5" ht="16.5">
      <x:c r="A5" s="26">
        <x:f t="shared" si="0"/>
        <x:v>0</x:v>
      </x:c>
      <x:c r="B5" s="26">
        <x:f t="shared" si="1"/>
        <x:v>0</x:v>
      </x:c>
      <x:c r="C5" s="26">
        <x:f t="shared" si="2"/>
        <x:v>1</x:v>
      </x:c>
      <x:c r="D5" s="26">
        <x:f t="shared" si="3"/>
        <x:v>0</x:v>
      </x:c>
      <x:c r="E5" s="27">
        <x:v>2</x:v>
      </x:c>
      <x:c r="F5" s="37">
        <x:v>1</x:v>
      </x:c>
      <x:c r="G5" s="38"/>
      <x:c r="H5" s="38"/>
      <x:c r="I5" s="38"/>
      <x:c r="J5" s="38"/>
      <x:c r="K5" s="38"/>
      <x:c r="L5" s="38">
        <x:v>1</x:v>
      </x:c>
      <x:c r="M5" s="38"/>
      <x:c r="N5" s="38"/>
      <x:c r="O5" s="38"/>
      <x:c r="P5" s="38"/>
      <x:c r="Q5" s="38"/>
    </x:row>
    <x:row r="6" ht="16.5">
      <x:c r="A6" s="30">
        <x:f t="shared" si="0"/>
        <x:v>0</x:v>
      </x:c>
      <x:c r="B6" s="30">
        <x:f t="shared" si="1"/>
        <x:v>0</x:v>
      </x:c>
      <x:c r="C6" s="30">
        <x:f t="shared" si="2"/>
        <x:v>1</x:v>
      </x:c>
      <x:c r="D6" s="30">
        <x:f t="shared" si="3"/>
        <x:v>1</x:v>
      </x:c>
      <x:c r="E6" s="31">
        <x:v>3</x:v>
      </x:c>
      <x:c r="F6" s="32">
        <x:v>1</x:v>
      </x:c>
      <x:c r="G6" s="33"/>
      <x:c r="H6" s="33"/>
      <x:c r="I6" s="33"/>
      <x:c r="J6" s="33"/>
      <x:c r="K6" s="33"/>
      <x:c r="L6" s="33"/>
      <x:c r="M6" s="33">
        <x:v>1</x:v>
      </x:c>
      <x:c r="N6" s="33"/>
      <x:c r="O6" s="33"/>
      <x:c r="P6" s="33"/>
      <x:c r="Q6" s="33"/>
    </x:row>
    <x:row r="7" ht="16.5">
      <x:c r="A7" s="26" t="str">
        <x:f t="shared" si="0"/>
      </x:c>
      <x:c r="B7" s="26" t="str">
        <x:f t="shared" si="1"/>
      </x:c>
      <x:c r="C7" s="26" t="str">
        <x:f t="shared" si="2"/>
      </x:c>
      <x:c r="D7" s="26" t="str">
        <x:f t="shared" si="3"/>
      </x:c>
      <x:c r="E7" s="27"/>
      <x:c r="F7" s="37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</x:row>
    <x:row r="8" ht="16.5">
      <x:c r="A8" s="30" t="str">
        <x:f t="shared" si="0"/>
      </x:c>
      <x:c r="B8" s="30" t="str">
        <x:f t="shared" si="1"/>
      </x:c>
      <x:c r="C8" s="30" t="str">
        <x:f t="shared" si="2"/>
      </x:c>
      <x:c r="D8" s="30" t="str">
        <x:f t="shared" si="3"/>
      </x:c>
      <x:c r="E8" s="31"/>
      <x:c r="F8" s="32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</x:row>
    <x:row r="9" ht="16.5">
      <x:c r="A9" s="26" t="str">
        <x:f t="shared" si="0"/>
      </x:c>
      <x:c r="B9" s="26" t="str">
        <x:f t="shared" si="1"/>
      </x:c>
      <x:c r="C9" s="26" t="str">
        <x:f t="shared" si="2"/>
      </x:c>
      <x:c r="D9" s="26" t="str">
        <x:f t="shared" si="3"/>
      </x:c>
      <x:c r="E9" s="27"/>
      <x:c r="F9" s="37"/>
      <x:c r="G9" s="38"/>
      <x:c r="H9" s="29"/>
      <x:c r="I9" s="29"/>
      <x:c r="J9" s="38"/>
      <x:c r="K9" s="38"/>
      <x:c r="L9" s="38"/>
      <x:c r="M9" s="38"/>
      <x:c r="N9" s="38"/>
      <x:c r="O9" s="38"/>
      <x:c r="P9" s="38"/>
      <x:c r="Q9" s="38"/>
    </x:row>
    <x:row r="10" ht="16.5">
      <x:c r="A10" s="30" t="str">
        <x:f t="shared" si="0"/>
      </x:c>
      <x:c r="B10" s="30" t="str">
        <x:f t="shared" si="1"/>
      </x:c>
      <x:c r="C10" s="30" t="str">
        <x:f t="shared" si="2"/>
      </x:c>
      <x:c r="D10" s="30" t="str">
        <x:f t="shared" si="3"/>
      </x:c>
      <x:c r="E10" s="31"/>
      <x:c r="F10" s="32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 ht="16.5">
      <x:c r="A11" s="26" t="str">
        <x:f t="shared" si="0"/>
      </x:c>
      <x:c r="B11" s="26" t="str">
        <x:f t="shared" si="1"/>
      </x:c>
      <x:c r="C11" s="26" t="str">
        <x:f t="shared" si="2"/>
      </x:c>
      <x:c r="D11" s="26" t="str">
        <x:f t="shared" si="3"/>
      </x:c>
      <x:c r="E11" s="27"/>
      <x:c r="F11" s="37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</x:row>
    <x:row r="12" ht="16.5">
      <x:c r="A12" s="30" t="str">
        <x:f t="shared" si="0"/>
      </x:c>
      <x:c r="B12" s="30" t="str">
        <x:f t="shared" si="1"/>
      </x:c>
      <x:c r="C12" s="30" t="str">
        <x:f t="shared" si="2"/>
      </x:c>
      <x:c r="D12" s="30" t="str">
        <x:f t="shared" si="3"/>
      </x:c>
      <x:c r="E12" s="31"/>
      <x:c r="F12" s="32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 ht="16.5">
      <x:c r="A13" s="26" t="str">
        <x:f t="shared" si="0"/>
      </x:c>
      <x:c r="B13" s="26" t="str">
        <x:f t="shared" si="1"/>
      </x:c>
      <x:c r="C13" s="26" t="str">
        <x:f t="shared" si="2"/>
      </x:c>
      <x:c r="D13" s="26" t="str">
        <x:f t="shared" si="3"/>
      </x:c>
      <x:c r="E13" s="27"/>
      <x:c r="F13" s="37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</x:row>
    <x:row r="14" ht="16.5">
      <x:c r="A14" s="30" t="str">
        <x:f t="shared" si="0"/>
      </x:c>
      <x:c r="B14" s="30" t="str">
        <x:f t="shared" si="1"/>
      </x:c>
      <x:c r="C14" s="30" t="str">
        <x:f t="shared" si="2"/>
      </x:c>
      <x:c r="D14" s="30" t="str">
        <x:f t="shared" si="3"/>
      </x:c>
      <x:c r="E14" s="31"/>
      <x:c r="F14" s="32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 ht="16.5">
      <x:c r="A15" s="26" t="str">
        <x:f t="shared" si="0"/>
      </x:c>
      <x:c r="B15" s="26" t="str">
        <x:f t="shared" si="1"/>
      </x:c>
      <x:c r="C15" s="26" t="str">
        <x:f t="shared" si="2"/>
      </x:c>
      <x:c r="D15" s="26" t="str">
        <x:f t="shared" si="3"/>
      </x:c>
      <x:c r="E15" s="27"/>
      <x:c r="F15" s="37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</x:row>
    <x:row r="16" ht="16.5">
      <x:c r="A16" s="30" t="str">
        <x:f t="shared" si="0"/>
      </x:c>
      <x:c r="B16" s="30" t="str">
        <x:f t="shared" si="1"/>
      </x:c>
      <x:c r="C16" s="30" t="str">
        <x:f t="shared" si="2"/>
      </x:c>
      <x:c r="D16" s="30" t="str">
        <x:f t="shared" si="3"/>
      </x:c>
      <x:c r="E16" s="31"/>
      <x:c r="F16" s="32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 ht="16.5">
      <x:c r="A17" s="26" t="str">
        <x:f t="shared" si="0"/>
      </x:c>
      <x:c r="B17" s="26" t="str">
        <x:f t="shared" si="1"/>
      </x:c>
      <x:c r="C17" s="26" t="str">
        <x:f t="shared" si="2"/>
      </x:c>
      <x:c r="D17" s="26" t="str">
        <x:f t="shared" si="3"/>
      </x:c>
      <x:c r="E17" s="27"/>
      <x:c r="F17" s="37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</x:row>
    <x:row r="18" ht="16.5">
      <x:c r="A18" s="30" t="str">
        <x:f t="shared" si="0"/>
      </x:c>
      <x:c r="B18" s="30" t="str">
        <x:f t="shared" si="1"/>
      </x:c>
      <x:c r="C18" s="30" t="str">
        <x:f t="shared" si="2"/>
      </x:c>
      <x:c r="D18" s="30" t="str">
        <x:f t="shared" si="3"/>
      </x:c>
      <x:c r="E18" s="31"/>
      <x:c r="F18" s="32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 ht="16.5">
      <x:c r="A19" s="26" t="str">
        <x:f t="shared" si="0"/>
      </x:c>
      <x:c r="B19" s="26" t="str">
        <x:f t="shared" si="1"/>
      </x:c>
      <x:c r="C19" s="26" t="str">
        <x:f t="shared" si="2"/>
      </x:c>
      <x:c r="D19" s="26" t="str">
        <x:f t="shared" si="3"/>
      </x:c>
      <x:c r="E19" s="27"/>
      <x:c r="F19" s="37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</x:row>
    <x:row r="20" ht="16.5">
      <x:c r="A20" s="30" t="str">
        <x:f t="shared" si="0"/>
      </x:c>
      <x:c r="B20" s="30" t="str">
        <x:f t="shared" si="1"/>
      </x:c>
      <x:c r="C20" s="30" t="str">
        <x:f t="shared" si="2"/>
      </x:c>
      <x:c r="D20" s="30" t="str">
        <x:f t="shared" si="3"/>
      </x:c>
      <x:c r="E20" s="31"/>
      <x:c r="F20" s="32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 ht="16.5">
      <x:c r="A21" s="26" t="str">
        <x:f t="shared" si="0"/>
      </x:c>
      <x:c r="B21" s="26" t="str">
        <x:f t="shared" si="1"/>
      </x:c>
      <x:c r="C21" s="26" t="str">
        <x:f t="shared" si="2"/>
      </x:c>
      <x:c r="D21" s="26" t="str">
        <x:f t="shared" si="3"/>
      </x:c>
      <x:c r="E21" s="27"/>
      <x:c r="F21" s="37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</x:row>
    <x:row r="22" ht="16.5">
      <x:c r="A22" s="30" t="str">
        <x:f t="shared" si="0"/>
      </x:c>
      <x:c r="B22" s="30" t="str">
        <x:f t="shared" si="1"/>
      </x:c>
      <x:c r="C22" s="30" t="str">
        <x:f t="shared" si="2"/>
      </x:c>
      <x:c r="D22" s="30" t="str">
        <x:f t="shared" si="3"/>
      </x:c>
      <x:c r="E22" s="31"/>
      <x:c r="F22" s="32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 ht="16.5">
      <x:c r="A23" s="26" t="str">
        <x:f t="shared" si="0"/>
      </x:c>
      <x:c r="B23" s="26" t="str">
        <x:f t="shared" si="1"/>
      </x:c>
      <x:c r="C23" s="26" t="str">
        <x:f t="shared" si="2"/>
      </x:c>
      <x:c r="D23" s="26" t="str">
        <x:f t="shared" si="3"/>
      </x:c>
      <x:c r="E23" s="27"/>
      <x:c r="F23" s="37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</x:row>
    <x:row r="24" ht="16.5">
      <x:c r="A24" s="30" t="str">
        <x:f t="shared" si="0"/>
      </x:c>
      <x:c r="B24" s="30" t="str">
        <x:f t="shared" si="1"/>
      </x:c>
      <x:c r="C24" s="30" t="str">
        <x:f t="shared" si="2"/>
      </x:c>
      <x:c r="D24" s="30" t="str">
        <x:f t="shared" si="3"/>
      </x:c>
      <x:c r="E24" s="31"/>
      <x:c r="F24" s="32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 ht="16.5">
      <x:c r="A25" s="26" t="str">
        <x:f t="shared" si="0"/>
      </x:c>
      <x:c r="B25" s="26" t="str">
        <x:f t="shared" si="1"/>
      </x:c>
      <x:c r="C25" s="26" t="str">
        <x:f t="shared" si="2"/>
      </x:c>
      <x:c r="D25" s="26" t="str">
        <x:f t="shared" si="3"/>
      </x:c>
      <x:c r="E25" s="27"/>
      <x:c r="F25" s="37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</x:row>
    <x:row r="26" ht="16.5">
      <x:c r="A26" s="30" t="str">
        <x:f t="shared" si="0"/>
      </x:c>
      <x:c r="B26" s="30" t="str">
        <x:f t="shared" si="1"/>
      </x:c>
      <x:c r="C26" s="30" t="str">
        <x:f t="shared" si="2"/>
      </x:c>
      <x:c r="D26" s="30" t="str">
        <x:f t="shared" si="3"/>
      </x:c>
      <x:c r="E26" s="31"/>
      <x:c r="F26" s="32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 ht="16.5">
      <x:c r="A27" s="26" t="str">
        <x:f t="shared" si="0"/>
      </x:c>
      <x:c r="B27" s="26" t="str">
        <x:f t="shared" si="1"/>
      </x:c>
      <x:c r="C27" s="26" t="str">
        <x:f t="shared" si="2"/>
      </x:c>
      <x:c r="D27" s="26" t="str">
        <x:f t="shared" si="3"/>
      </x:c>
      <x:c r="E27" s="27"/>
      <x:c r="F27" s="37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</x:row>
    <x:row r="28" ht="16.5">
      <x:c r="A28" s="30" t="str">
        <x:f t="shared" si="0"/>
      </x:c>
      <x:c r="B28" s="30" t="str">
        <x:f t="shared" si="1"/>
      </x:c>
      <x:c r="C28" s="30" t="str">
        <x:f t="shared" si="2"/>
      </x:c>
      <x:c r="D28" s="30" t="str">
        <x:f t="shared" si="3"/>
      </x:c>
      <x:c r="E28" s="31"/>
      <x:c r="F28" s="32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 ht="16.5">
      <x:c r="A29" s="26" t="str">
        <x:f t="shared" si="0"/>
      </x:c>
      <x:c r="B29" s="26" t="str">
        <x:f t="shared" si="1"/>
      </x:c>
      <x:c r="C29" s="26" t="str">
        <x:f t="shared" si="2"/>
      </x:c>
      <x:c r="D29" s="26" t="str">
        <x:f t="shared" si="3"/>
      </x:c>
      <x:c r="E29" s="27"/>
      <x:c r="F29" s="37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</x:row>
    <x:row r="30" ht="16.5">
      <x:c r="A30" s="30" t="str">
        <x:f t="shared" si="0"/>
      </x:c>
      <x:c r="B30" s="30" t="str">
        <x:f t="shared" si="1"/>
      </x:c>
      <x:c r="C30" s="30" t="str">
        <x:f t="shared" si="2"/>
      </x:c>
      <x:c r="D30" s="30" t="str">
        <x:f t="shared" si="3"/>
      </x:c>
      <x:c r="E30" s="31"/>
      <x:c r="F30" s="32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 ht="16.5">
      <x:c r="A31" s="26" t="str">
        <x:f t="shared" si="0"/>
      </x:c>
      <x:c r="B31" s="26" t="str">
        <x:f t="shared" si="1"/>
      </x:c>
      <x:c r="C31" s="26" t="str">
        <x:f t="shared" si="2"/>
      </x:c>
      <x:c r="D31" s="26" t="str">
        <x:f t="shared" si="3"/>
      </x:c>
      <x:c r="E31" s="27"/>
      <x:c r="F31" s="37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</x:row>
  </x:sheetData>
  <x:mergeCells>
    <x:mergeCell ref="A1:E1"/>
    <x:mergeCell ref="F1:Q1"/>
  </x:mergeCells>
  <x:conditionalFormatting sqref="Q3:Q31 F3:N31">
    <x:cfRule type="cellIs" dxfId="6" priority="6" operator="equal">
      <x:formula>1</x:formula>
    </x:cfRule>
  </x:conditionalFormatting>
  <x:conditionalFormatting sqref="O3:P31">
    <x:cfRule type="cellIs" dxfId="5" priority="1" operator="equal">
      <x:formula>1</x:formula>
    </x:cfRule>
  </x:conditionalFormatting>
  <x:conditionalFormatting sqref="F32:I1048576 Q32:Q1048576">
    <x:cfRule type="containsText" dxfId="4" priority="13" operator="containsText" text="1">
      <x:formula>NOT(ISERROR(SEARCH("1",F32)))</x:formula>
    </x:cfRule>
  </x:conditionalFormatting>
  <x:conditionalFormatting sqref="J32:N1048576">
    <x:cfRule type="containsText" dxfId="3" priority="10" operator="containsText" text="1">
      <x:formula>NOT(ISERROR(SEARCH("1",J32)))</x:formula>
    </x:cfRule>
  </x:conditionalFormatting>
  <x:conditionalFormatting sqref="O32:P1048576">
    <x:cfRule type="containsText" dxfId="2" priority="2" operator="containsText" text="1">
      <x:formula>NOT(ISERROR(SEARCH("1",O32)))</x:formula>
    </x:cfRule>
  </x:conditionalFormatting>
  <x:dataValidations count="3">
    <x:dataValidation allowBlank="1" showInputMessage="1" showErrorMessage="1" promptTitle="状态机现态二进制" prompt="状态机现态二进制表示，由前列计算得到" sqref="A1:A1048576 B2:C1048576"/>
    <x:dataValidation allowBlank="1" showInputMessage="1" showErrorMessage="1" promptTitle="状态机现态" prompt="状态机现态" sqref="D2:D1048576"/>
    <x:dataValidation allowBlank="1" showInputMessage="1" showErrorMessage="1" promptTitle="输出" prompt="输出，只填为1的情况，为零不填" sqref="F2:Q1048576"/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30A0"/>
  </x:sheetPr>
  <x:sheetFormatPr defaultColWidth="9" defaultRowHeight="14"/>
  <x:cols>
    <x:col min="1" max="4" width="4.58203125" customWidth="1"/>
    <x:col min="5" max="5" width="14.25" style="1" customWidth="1"/>
    <x:col min="6" max="6" width="8.58203125" customWidth="1"/>
    <x:col min="7" max="7" width="9.5" customWidth="1"/>
    <x:col min="8" max="12" width="8.58203125" customWidth="1"/>
    <x:col min="13" max="13" width="8.08203125" customWidth="1"/>
    <x:col min="14" max="17" width="9" customWidth="1"/>
  </x:cols>
  <x:sheetData>
    <x:row r="1" ht="14.5">
      <x:c r="A1" s="2" t="e">
        <x:f>状态转换表!A2</x:f>
      </x:c>
      <x:c r="B1" s="2" t="e">
        <x:f>状态转换表!B2</x:f>
      </x:c>
      <x:c r="C1" s="2" t="e">
        <x:f>状态转换表!C2</x:f>
      </x:c>
      <x:c r="D1" s="3" t="e">
        <x:f>状态转换表!D2</x:f>
      </x:c>
      <x:c r="E1" s="13" t="s">
        <x:v>19</x:v>
      </x:c>
      <x:c r="F1" s="14" t="e">
        <x:f>输出函数真值表!F2</x:f>
      </x:c>
      <x:c r="G1" s="14" t="e">
        <x:f>输出函数真值表!G2</x:f>
      </x:c>
      <x:c r="H1" s="14" t="e">
        <x:f>输出函数真值表!H2</x:f>
      </x:c>
      <x:c r="I1" s="14" t="e">
        <x:f>输出函数真值表!I2</x:f>
      </x:c>
      <x:c r="J1" s="14" t="e">
        <x:f>输出函数真值表!J2</x:f>
      </x:c>
      <x:c r="K1" s="14" t="e">
        <x:f>输出函数真值表!K2</x:f>
      </x:c>
      <x:c r="L1" s="14" t="e">
        <x:f>输出函数真值表!L2</x:f>
      </x:c>
      <x:c r="M1" s="14" t="e">
        <x:f>输出函数真值表!M2</x:f>
      </x:c>
      <x:c r="N1" s="14" t="e">
        <x:f>输出函数真值表!N2</x:f>
      </x:c>
      <x:c r="O1" s="14" t="e">
        <x:f>输出函数真值表!O2</x:f>
      </x:c>
      <x:c r="P1" s="14" t="e">
        <x:f>输出函数真值表!P2</x:f>
      </x:c>
      <x:c r="Q1" s="14" t="e">
        <x:f>输出函数真值表!Q2</x:f>
      </x:c>
    </x:row>
    <x:row r="2" ht="14.5">
      <x:c r="A2" s="4" t="e">
        <x:f>IF(输出函数真值表!A3=1,输出函数真值表!A$2&amp;"&amp;",IF(输出函数真值表!A3=0,"~"&amp;输出函数真值表!A$2&amp;"&amp;",""))</x:f>
      </x:c>
      <x:c r="B2" s="4" t="e">
        <x:f>IF(输出函数真值表!B3=1,输出函数真值表!B$2&amp;"&amp;",IF(输出函数真值表!B3=0,"~"&amp;输出函数真值表!B$2&amp;"&amp;",""))</x:f>
      </x:c>
      <x:c r="C2" s="4" t="e">
        <x:f>IF(输出函数真值表!C3=1,输出函数真值表!C$2&amp;"&amp;",IF(输出函数真值表!C3=0,"~"&amp;输出函数真值表!C$2&amp;"&amp;",""))</x:f>
      </x:c>
      <x:c r="D2" s="5" t="e">
        <x:f>IF(输出函数真值表!D3=1,输出函数真值表!D$2&amp;"&amp;",IF(输出函数真值表!D3=0,"~"&amp;输出函数真值表!D$2&amp;"&amp;",""))</x:f>
      </x:c>
      <x:c r="E2" s="15" t="e">
        <x:f>IF(LEN(CONCATENATE(A2,B2,C2,D2))=0,"",LEFT(CONCATENATE(A2,B2,C2,D2),LEN(CONCATENATE(A2,B2,C2,D2))-1))</x:f>
      </x:c>
      <x:c r="F2" s="16" t="e">
        <x:f>IF(输出函数真值表!F3=1,$E2&amp;"+","")</x:f>
      </x:c>
      <x:c r="G2" s="16" t="e">
        <x:f>IF(输出函数真值表!G3=1,$E2&amp;"+","")</x:f>
      </x:c>
      <x:c r="H2" s="16" t="e">
        <x:f>IF(输出函数真值表!H3=1,$E2&amp;"+","")</x:f>
      </x:c>
      <x:c r="I2" s="16" t="e">
        <x:f>IF(输出函数真值表!I3=1,$E2&amp;"+","")</x:f>
      </x:c>
      <x:c r="J2" s="16" t="e">
        <x:f>IF(输出函数真值表!J3=1,$E2&amp;"+","")</x:f>
      </x:c>
      <x:c r="K2" s="16" t="e">
        <x:f>IF(输出函数真值表!K3=1,$E2&amp;"+","")</x:f>
      </x:c>
      <x:c r="L2" s="16" t="e">
        <x:f>IF(输出函数真值表!L3=1,$E2&amp;"+","")</x:f>
      </x:c>
      <x:c r="M2" s="16" t="e">
        <x:f>IF(输出函数真值表!M3=1,$E2&amp;"+","")</x:f>
      </x:c>
      <x:c r="N2" s="16" t="e">
        <x:f>IF(输出函数真值表!N3=1,$E2&amp;"+","")</x:f>
      </x:c>
      <x:c r="O2" s="16" t="e">
        <x:f>IF(输出函数真值表!O3=1,$E2&amp;"+","")</x:f>
      </x:c>
      <x:c r="P2" s="16" t="e">
        <x:f>IF(输出函数真值表!P3=1,$E2&amp;"+","")</x:f>
      </x:c>
      <x:c r="Q2" s="16" t="e">
        <x:f>IF(输出函数真值表!Q3=1,$E2&amp;"+","")</x:f>
      </x:c>
    </x:row>
    <x:row r="3">
      <x:c r="A3" s="4" t="e">
        <x:f>IF(输出函数真值表!A4=1,输出函数真值表!A$2&amp;"&amp;",IF(输出函数真值表!A4=0,"~"&amp;输出函数真值表!A$2&amp;"&amp;",""))</x:f>
      </x:c>
      <x:c r="B3" s="6" t="e">
        <x:f>IF(输出函数真值表!B4=1,输出函数真值表!B$2&amp;"&amp;",IF(输出函数真值表!B4=0,"~"&amp;输出函数真值表!B$2&amp;"&amp;",""))</x:f>
      </x:c>
      <x:c r="C3" s="6" t="e">
        <x:f>IF(输出函数真值表!C4=1,输出函数真值表!C$2&amp;"&amp;",IF(输出函数真值表!C4=0,"~"&amp;输出函数真值表!C$2&amp;"&amp;",""))</x:f>
      </x:c>
      <x:c r="D3" s="7" t="e">
        <x:f>IF(输出函数真值表!D4=1,输出函数真值表!D$2&amp;"&amp;",IF(输出函数真值表!D4=0,"~"&amp;输出函数真值表!D$2&amp;"&amp;",""))</x:f>
      </x:c>
      <x:c r="E3" s="15" t="e">
        <x:f t="shared" ref="E3:E30" si="0">IF(LEN(CONCATENATE(A3,B3,C3,D3))=0,"",LEFT(CONCATENATE(A3,B3,C3,D3),LEN(CONCATENATE(A3,B3,C3,D3))-1))</x:f>
      </x:c>
      <x:c r="F3" s="17" t="e">
        <x:f>IF(输出函数真值表!F4=1,$E3&amp;"+","")</x:f>
      </x:c>
      <x:c r="G3" s="17" t="e">
        <x:f>IF(输出函数真值表!G4=1,$E3&amp;"+","")</x:f>
      </x:c>
      <x:c r="H3" s="17" t="e">
        <x:f>IF(输出函数真值表!H4=1,$E3&amp;"+","")</x:f>
      </x:c>
      <x:c r="I3" s="17" t="e">
        <x:f>IF(输出函数真值表!I4=1,$E3&amp;"+","")</x:f>
      </x:c>
      <x:c r="J3" s="17" t="e">
        <x:f>IF(输出函数真值表!J4=1,$E3&amp;"+","")</x:f>
      </x:c>
      <x:c r="K3" s="16" t="e">
        <x:f>IF(输出函数真值表!K4=1,$E3&amp;"+","")</x:f>
      </x:c>
      <x:c r="L3" s="16" t="e">
        <x:f>IF(输出函数真值表!L4=1,$E3&amp;"+","")</x:f>
      </x:c>
      <x:c r="M3" s="16" t="e">
        <x:f>IF(输出函数真值表!M4=1,$E3&amp;"+","")</x:f>
      </x:c>
      <x:c r="N3" s="16" t="e">
        <x:f>IF(输出函数真值表!N4=1,$E3&amp;"+","")</x:f>
      </x:c>
      <x:c r="O3" s="16" t="e">
        <x:f>IF(输出函数真值表!O4=1,$E3&amp;"+","")</x:f>
      </x:c>
      <x:c r="P3" s="16" t="e">
        <x:f>IF(输出函数真值表!P4=1,$E3&amp;"+","")</x:f>
      </x:c>
      <x:c r="Q3" s="16" t="e">
        <x:f>IF(输出函数真值表!Q4=1,$E3&amp;"+","")</x:f>
      </x:c>
    </x:row>
    <x:row r="4">
      <x:c r="A4" s="4" t="e">
        <x:f>IF(输出函数真值表!A5=1,输出函数真值表!A$2&amp;"&amp;",IF(输出函数真值表!A5=0,"~"&amp;输出函数真值表!A$2&amp;"&amp;",""))</x:f>
      </x:c>
      <x:c r="B4" s="6" t="e">
        <x:f>IF(输出函数真值表!B5=1,输出函数真值表!B$2&amp;"&amp;",IF(输出函数真值表!B5=0,"~"&amp;输出函数真值表!B$2&amp;"&amp;",""))</x:f>
      </x:c>
      <x:c r="C4" s="6" t="e">
        <x:f>IF(输出函数真值表!C5=1,输出函数真值表!C$2&amp;"&amp;",IF(输出函数真值表!C5=0,"~"&amp;输出函数真值表!C$2&amp;"&amp;",""))</x:f>
      </x:c>
      <x:c r="D4" s="7" t="e">
        <x:f>IF(输出函数真值表!D5=1,输出函数真值表!D$2&amp;"&amp;",IF(输出函数真值表!D5=0,"~"&amp;输出函数真值表!D$2&amp;"&amp;",""))</x:f>
      </x:c>
      <x:c r="E4" s="15" t="str">
        <x:f t="shared" si="0"/>
        <x:v>~S3&amp;~S2&amp;S1&amp;~S0</x:v>
      </x:c>
      <x:c r="F4" s="17" t="e">
        <x:f>IF(输出函数真值表!F5=1,$E4&amp;"+","")</x:f>
      </x:c>
      <x:c r="G4" s="17" t="e">
        <x:f>IF(输出函数真值表!G5=1,$E4&amp;"+","")</x:f>
      </x:c>
      <x:c r="H4" s="17" t="e">
        <x:f>IF(输出函数真值表!H5=1,$E4&amp;"+","")</x:f>
      </x:c>
      <x:c r="I4" s="17" t="e">
        <x:f>IF(输出函数真值表!I5=1,$E4&amp;"+","")</x:f>
      </x:c>
      <x:c r="J4" s="17" t="e">
        <x:f>IF(输出函数真值表!J5=1,$E4&amp;"+","")</x:f>
      </x:c>
      <x:c r="K4" s="16" t="e">
        <x:f>IF(输出函数真值表!K5=1,$E4&amp;"+","")</x:f>
      </x:c>
      <x:c r="L4" s="16" t="e">
        <x:f>IF(输出函数真值表!L5=1,$E4&amp;"+","")</x:f>
      </x:c>
      <x:c r="M4" s="16" t="e">
        <x:f>IF(输出函数真值表!M5=1,$E4&amp;"+","")</x:f>
      </x:c>
      <x:c r="N4" s="16" t="e">
        <x:f>IF(输出函数真值表!N5=1,$E4&amp;"+","")</x:f>
      </x:c>
      <x:c r="O4" s="16" t="e">
        <x:f>IF(输出函数真值表!O5=1,$E4&amp;"+","")</x:f>
      </x:c>
      <x:c r="P4" s="16" t="e">
        <x:f>IF(输出函数真值表!P5=1,$E4&amp;"+","")</x:f>
      </x:c>
      <x:c r="Q4" s="16" t="e">
        <x:f>IF(输出函数真值表!Q5=1,$E4&amp;"+","")</x:f>
      </x:c>
    </x:row>
    <x:row r="5">
      <x:c r="A5" s="4" t="e">
        <x:f>IF(输出函数真值表!A6=1,输出函数真值表!A$2&amp;"&amp;",IF(输出函数真值表!A6=0,"~"&amp;输出函数真值表!A$2&amp;"&amp;",""))</x:f>
      </x:c>
      <x:c r="B5" s="6" t="e">
        <x:f>IF(输出函数真值表!B6=1,输出函数真值表!B$2&amp;"&amp;",IF(输出函数真值表!B6=0,"~"&amp;输出函数真值表!B$2&amp;"&amp;",""))</x:f>
      </x:c>
      <x:c r="C5" s="6" t="e">
        <x:f>IF(输出函数真值表!C6=1,输出函数真值表!C$2&amp;"&amp;",IF(输出函数真值表!C6=0,"~"&amp;输出函数真值表!C$2&amp;"&amp;",""))</x:f>
      </x:c>
      <x:c r="D5" s="7" t="e">
        <x:f>IF(输出函数真值表!D6=1,输出函数真值表!D$2&amp;"&amp;",IF(输出函数真值表!D6=0,"~"&amp;输出函数真值表!D$2&amp;"&amp;",""))</x:f>
      </x:c>
      <x:c r="E5" s="15" t="str">
        <x:f t="shared" si="0"/>
        <x:v>~S3&amp;~S2&amp;S1&amp;S0</x:v>
      </x:c>
      <x:c r="F5" s="17" t="e">
        <x:f>IF(输出函数真值表!F6=1,$E5&amp;"+","")</x:f>
      </x:c>
      <x:c r="G5" s="17" t="e">
        <x:f>IF(输出函数真值表!G6=1,$E5&amp;"+","")</x:f>
      </x:c>
      <x:c r="H5" s="17" t="e">
        <x:f>IF(输出函数真值表!H6=1,$E5&amp;"+","")</x:f>
      </x:c>
      <x:c r="I5" s="17" t="e">
        <x:f>IF(输出函数真值表!I6=1,$E5&amp;"+","")</x:f>
      </x:c>
      <x:c r="J5" s="17" t="e">
        <x:f>IF(输出函数真值表!J6=1,$E5&amp;"+","")</x:f>
      </x:c>
      <x:c r="K5" s="16" t="e">
        <x:f>IF(输出函数真值表!K6=1,$E5&amp;"+","")</x:f>
      </x:c>
      <x:c r="L5" s="16" t="e">
        <x:f>IF(输出函数真值表!L6=1,$E5&amp;"+","")</x:f>
      </x:c>
      <x:c r="M5" s="16" t="e">
        <x:f>IF(输出函数真值表!M6=1,$E5&amp;"+","")</x:f>
      </x:c>
      <x:c r="N5" s="16" t="e">
        <x:f>IF(输出函数真值表!N6=1,$E5&amp;"+","")</x:f>
      </x:c>
      <x:c r="O5" s="16" t="e">
        <x:f>IF(输出函数真值表!O6=1,$E5&amp;"+","")</x:f>
      </x:c>
      <x:c r="P5" s="16" t="e">
        <x:f>IF(输出函数真值表!P6=1,$E5&amp;"+","")</x:f>
      </x:c>
      <x:c r="Q5" s="16" t="e">
        <x:f>IF(输出函数真值表!Q6=1,$E5&amp;"+","")</x:f>
      </x:c>
    </x:row>
    <x:row r="6">
      <x:c r="A6" s="4" t="e">
        <x:f>IF(输出函数真值表!A7=1,输出函数真值表!A$2&amp;"&amp;",IF(输出函数真值表!A7=0,"~"&amp;输出函数真值表!A$2&amp;"&amp;",""))</x:f>
      </x:c>
      <x:c r="B6" s="6" t="e">
        <x:f>IF(输出函数真值表!B7=1,输出函数真值表!B$2&amp;"&amp;",IF(输出函数真值表!B7=0,"~"&amp;输出函数真值表!B$2&amp;"&amp;",""))</x:f>
      </x:c>
      <x:c r="C6" s="6" t="e">
        <x:f>IF(输出函数真值表!C7=1,输出函数真值表!C$2&amp;"&amp;",IF(输出函数真值表!C7=0,"~"&amp;输出函数真值表!C$2&amp;"&amp;",""))</x:f>
      </x:c>
      <x:c r="D6" s="7" t="e">
        <x:f>IF(输出函数真值表!D7=1,输出函数真值表!D$2&amp;"&amp;",IF(输出函数真值表!D7=0,"~"&amp;输出函数真值表!D$2&amp;"&amp;",""))</x:f>
      </x:c>
      <x:c r="E6" s="15" t="str">
        <x:f t="shared" si="0"/>
      </x:c>
      <x:c r="F6" s="17" t="e">
        <x:f>IF(输出函数真值表!F7=1,$E6&amp;"+","")</x:f>
      </x:c>
      <x:c r="G6" s="17" t="e">
        <x:f>IF(输出函数真值表!G7=1,$E6&amp;"+","")</x:f>
      </x:c>
      <x:c r="H6" s="17" t="e">
        <x:f>IF(输出函数真值表!H7=1,$E6&amp;"+","")</x:f>
      </x:c>
      <x:c r="I6" s="17" t="e">
        <x:f>IF(输出函数真值表!I7=1,$E6&amp;"+","")</x:f>
      </x:c>
      <x:c r="J6" s="17" t="e">
        <x:f>IF(输出函数真值表!J7=1,$E6&amp;"+","")</x:f>
      </x:c>
      <x:c r="K6" s="16" t="e">
        <x:f>IF(输出函数真值表!K7=1,$E6&amp;"+","")</x:f>
      </x:c>
      <x:c r="L6" s="16" t="e">
        <x:f>IF(输出函数真值表!L7=1,$E6&amp;"+","")</x:f>
      </x:c>
      <x:c r="M6" s="16" t="e">
        <x:f>IF(输出函数真值表!M7=1,$E6&amp;"+","")</x:f>
      </x:c>
      <x:c r="N6" s="16" t="e">
        <x:f>IF(输出函数真值表!N7=1,$E6&amp;"+","")</x:f>
      </x:c>
      <x:c r="O6" s="16" t="e">
        <x:f>IF(输出函数真值表!O7=1,$E6&amp;"+","")</x:f>
      </x:c>
      <x:c r="P6" s="16" t="e">
        <x:f>IF(输出函数真值表!P7=1,$E6&amp;"+","")</x:f>
      </x:c>
      <x:c r="Q6" s="16" t="e">
        <x:f>IF(输出函数真值表!Q7=1,$E6&amp;"+","")</x:f>
      </x:c>
    </x:row>
    <x:row r="7">
      <x:c r="A7" s="4" t="e">
        <x:f>IF(输出函数真值表!A8=1,输出函数真值表!A$2&amp;"&amp;",IF(输出函数真值表!A8=0,"~"&amp;输出函数真值表!A$2&amp;"&amp;",""))</x:f>
      </x:c>
      <x:c r="B7" s="6" t="e">
        <x:f>IF(输出函数真值表!B8=1,输出函数真值表!B$2&amp;"&amp;",IF(输出函数真值表!B8=0,"~"&amp;输出函数真值表!B$2&amp;"&amp;",""))</x:f>
      </x:c>
      <x:c r="C7" s="6" t="e">
        <x:f>IF(输出函数真值表!C8=1,输出函数真值表!C$2&amp;"&amp;",IF(输出函数真值表!C8=0,"~"&amp;输出函数真值表!C$2&amp;"&amp;",""))</x:f>
      </x:c>
      <x:c r="D7" s="7" t="e">
        <x:f>IF(输出函数真值表!D8=1,输出函数真值表!D$2&amp;"&amp;",IF(输出函数真值表!D8=0,"~"&amp;输出函数真值表!D$2&amp;"&amp;",""))</x:f>
      </x:c>
      <x:c r="E7" s="15" t="str">
        <x:f t="shared" si="0"/>
      </x:c>
      <x:c r="F7" s="17" t="e">
        <x:f>IF(输出函数真值表!F8=1,$E7&amp;"+","")</x:f>
      </x:c>
      <x:c r="G7" s="17" t="e">
        <x:f>IF(输出函数真值表!G8=1,$E7&amp;"+","")</x:f>
      </x:c>
      <x:c r="H7" s="17" t="e">
        <x:f>IF(输出函数真值表!H8=1,$E7&amp;"+","")</x:f>
      </x:c>
      <x:c r="I7" s="17" t="e">
        <x:f>IF(输出函数真值表!I8=1,$E7&amp;"+","")</x:f>
      </x:c>
      <x:c r="J7" s="17" t="e">
        <x:f>IF(输出函数真值表!J8=1,$E7&amp;"+","")</x:f>
      </x:c>
      <x:c r="K7" s="16" t="e">
        <x:f>IF(输出函数真值表!K8=1,$E7&amp;"+","")</x:f>
      </x:c>
      <x:c r="L7" s="16" t="e">
        <x:f>IF(输出函数真值表!L8=1,$E7&amp;"+","")</x:f>
      </x:c>
      <x:c r="M7" s="16" t="e">
        <x:f>IF(输出函数真值表!M8=1,$E7&amp;"+","")</x:f>
      </x:c>
      <x:c r="N7" s="16" t="e">
        <x:f>IF(输出函数真值表!N8=1,$E7&amp;"+","")</x:f>
      </x:c>
      <x:c r="O7" s="16" t="e">
        <x:f>IF(输出函数真值表!O8=1,$E7&amp;"+","")</x:f>
      </x:c>
      <x:c r="P7" s="16" t="e">
        <x:f>IF(输出函数真值表!P8=1,$E7&amp;"+","")</x:f>
      </x:c>
      <x:c r="Q7" s="16" t="e">
        <x:f>IF(输出函数真值表!Q8=1,$E7&amp;"+","")</x:f>
      </x:c>
    </x:row>
    <x:row r="8">
      <x:c r="A8" s="4" t="e">
        <x:f>IF(输出函数真值表!A9=1,输出函数真值表!A$2&amp;"&amp;",IF(输出函数真值表!A9=0,"~"&amp;输出函数真值表!A$2&amp;"&amp;",""))</x:f>
      </x:c>
      <x:c r="B8" s="6" t="e">
        <x:f>IF(输出函数真值表!B9=1,输出函数真值表!B$2&amp;"&amp;",IF(输出函数真值表!B9=0,"~"&amp;输出函数真值表!B$2&amp;"&amp;",""))</x:f>
      </x:c>
      <x:c r="C8" s="6" t="e">
        <x:f>IF(输出函数真值表!C9=1,输出函数真值表!C$2&amp;"&amp;",IF(输出函数真值表!C9=0,"~"&amp;输出函数真值表!C$2&amp;"&amp;",""))</x:f>
      </x:c>
      <x:c r="D8" s="7" t="e">
        <x:f>IF(输出函数真值表!D9=1,输出函数真值表!D$2&amp;"&amp;",IF(输出函数真值表!D9=0,"~"&amp;输出函数真值表!D$2&amp;"&amp;",""))</x:f>
      </x:c>
      <x:c r="E8" s="15" t="str">
        <x:f t="shared" si="0"/>
      </x:c>
      <x:c r="F8" s="17" t="e">
        <x:f>IF(输出函数真值表!F9=1,$E8&amp;"+","")</x:f>
      </x:c>
      <x:c r="G8" s="17" t="e">
        <x:f>IF(输出函数真值表!G9=1,$E8&amp;"+","")</x:f>
      </x:c>
      <x:c r="H8" s="17" t="e">
        <x:f>IF(输出函数真值表!H9=1,$E8&amp;"+","")</x:f>
      </x:c>
      <x:c r="I8" s="17" t="e">
        <x:f>IF(输出函数真值表!I9=1,$E8&amp;"+","")</x:f>
      </x:c>
      <x:c r="J8" s="17" t="e">
        <x:f>IF(输出函数真值表!J9=1,$E8&amp;"+","")</x:f>
      </x:c>
      <x:c r="K8" s="16" t="e">
        <x:f>IF(输出函数真值表!K9=1,$E8&amp;"+","")</x:f>
      </x:c>
      <x:c r="L8" s="16" t="e">
        <x:f>IF(输出函数真值表!L9=1,$E8&amp;"+","")</x:f>
      </x:c>
      <x:c r="M8" s="16" t="e">
        <x:f>IF(输出函数真值表!M9=1,$E8&amp;"+","")</x:f>
      </x:c>
      <x:c r="N8" s="16" t="e">
        <x:f>IF(输出函数真值表!N9=1,$E8&amp;"+","")</x:f>
      </x:c>
      <x:c r="O8" s="16" t="e">
        <x:f>IF(输出函数真值表!O9=1,$E8&amp;"+","")</x:f>
      </x:c>
      <x:c r="P8" s="16" t="e">
        <x:f>IF(输出函数真值表!P9=1,$E8&amp;"+","")</x:f>
      </x:c>
      <x:c r="Q8" s="16" t="e">
        <x:f>IF(输出函数真值表!Q9=1,$E8&amp;"+","")</x:f>
      </x:c>
    </x:row>
    <x:row r="9">
      <x:c r="A9" s="4" t="e">
        <x:f>IF(输出函数真值表!A10=1,输出函数真值表!A$2&amp;"&amp;",IF(输出函数真值表!A10=0,"~"&amp;输出函数真值表!A$2&amp;"&amp;",""))</x:f>
      </x:c>
      <x:c r="B9" s="6" t="e">
        <x:f>IF(输出函数真值表!B10=1,输出函数真值表!B$2&amp;"&amp;",IF(输出函数真值表!B10=0,"~"&amp;输出函数真值表!B$2&amp;"&amp;",""))</x:f>
      </x:c>
      <x:c r="C9" s="6" t="e">
        <x:f>IF(输出函数真值表!C10=1,输出函数真值表!C$2&amp;"&amp;",IF(输出函数真值表!C10=0,"~"&amp;输出函数真值表!C$2&amp;"&amp;",""))</x:f>
      </x:c>
      <x:c r="D9" s="7" t="e">
        <x:f>IF(输出函数真值表!D10=1,输出函数真值表!D$2&amp;"&amp;",IF(输出函数真值表!D10=0,"~"&amp;输出函数真值表!D$2&amp;"&amp;",""))</x:f>
      </x:c>
      <x:c r="E9" s="15" t="str">
        <x:f t="shared" si="0"/>
      </x:c>
      <x:c r="F9" s="17" t="e">
        <x:f>IF(输出函数真值表!F10=1,$E9&amp;"+","")</x:f>
      </x:c>
      <x:c r="G9" s="17" t="e">
        <x:f>IF(输出函数真值表!G10=1,$E9&amp;"+","")</x:f>
      </x:c>
      <x:c r="H9" s="17" t="e">
        <x:f>IF(输出函数真值表!H10=1,$E9&amp;"+","")</x:f>
      </x:c>
      <x:c r="I9" s="17" t="e">
        <x:f>IF(输出函数真值表!I10=1,$E9&amp;"+","")</x:f>
      </x:c>
      <x:c r="J9" s="17" t="e">
        <x:f>IF(输出函数真值表!J10=1,$E9&amp;"+","")</x:f>
      </x:c>
      <x:c r="K9" s="16" t="e">
        <x:f>IF(输出函数真值表!K10=1,$E9&amp;"+","")</x:f>
      </x:c>
      <x:c r="L9" s="16" t="e">
        <x:f>IF(输出函数真值表!L10=1,$E9&amp;"+","")</x:f>
      </x:c>
      <x:c r="M9" s="16" t="e">
        <x:f>IF(输出函数真值表!M10=1,$E9&amp;"+","")</x:f>
      </x:c>
      <x:c r="N9" s="16" t="e">
        <x:f>IF(输出函数真值表!N10=1,$E9&amp;"+","")</x:f>
      </x:c>
      <x:c r="O9" s="16" t="e">
        <x:f>IF(输出函数真值表!O10=1,$E9&amp;"+","")</x:f>
      </x:c>
      <x:c r="P9" s="16" t="e">
        <x:f>IF(输出函数真值表!P10=1,$E9&amp;"+","")</x:f>
      </x:c>
      <x:c r="Q9" s="16" t="e">
        <x:f>IF(输出函数真值表!Q10=1,$E9&amp;"+","")</x:f>
      </x:c>
    </x:row>
    <x:row r="10">
      <x:c r="A10" s="4" t="e">
        <x:f>IF(输出函数真值表!A11=1,输出函数真值表!A$2&amp;"&amp;",IF(输出函数真值表!A11=0,"~"&amp;输出函数真值表!A$2&amp;"&amp;",""))</x:f>
      </x:c>
      <x:c r="B10" s="6" t="e">
        <x:f>IF(输出函数真值表!B11=1,输出函数真值表!B$2&amp;"&amp;",IF(输出函数真值表!B11=0,"~"&amp;输出函数真值表!B$2&amp;"&amp;",""))</x:f>
      </x:c>
      <x:c r="C10" s="6" t="e">
        <x:f>IF(输出函数真值表!C11=1,输出函数真值表!C$2&amp;"&amp;",IF(输出函数真值表!C11=0,"~"&amp;输出函数真值表!C$2&amp;"&amp;",""))</x:f>
      </x:c>
      <x:c r="D10" s="7" t="e">
        <x:f>IF(输出函数真值表!D11=1,输出函数真值表!D$2&amp;"&amp;",IF(输出函数真值表!D11=0,"~"&amp;输出函数真值表!D$2&amp;"&amp;",""))</x:f>
      </x:c>
      <x:c r="E10" s="15" t="str">
        <x:f t="shared" si="0"/>
      </x:c>
      <x:c r="F10" s="17" t="e">
        <x:f>IF(输出函数真值表!F11=1,$E10&amp;"+","")</x:f>
      </x:c>
      <x:c r="G10" s="17" t="e">
        <x:f>IF(输出函数真值表!G11=1,$E10&amp;"+","")</x:f>
      </x:c>
      <x:c r="H10" s="17" t="e">
        <x:f>IF(输出函数真值表!H11=1,$E10&amp;"+","")</x:f>
      </x:c>
      <x:c r="I10" s="17" t="e">
        <x:f>IF(输出函数真值表!I11=1,$E10&amp;"+","")</x:f>
      </x:c>
      <x:c r="J10" s="17" t="e">
        <x:f>IF(输出函数真值表!J11=1,$E10&amp;"+","")</x:f>
      </x:c>
      <x:c r="K10" s="16" t="e">
        <x:f>IF(输出函数真值表!K11=1,$E10&amp;"+","")</x:f>
      </x:c>
      <x:c r="L10" s="16" t="e">
        <x:f>IF(输出函数真值表!L11=1,$E10&amp;"+","")</x:f>
      </x:c>
      <x:c r="M10" s="16" t="e">
        <x:f>IF(输出函数真值表!M11=1,$E10&amp;"+","")</x:f>
      </x:c>
      <x:c r="N10" s="16" t="e">
        <x:f>IF(输出函数真值表!N11=1,$E10&amp;"+","")</x:f>
      </x:c>
      <x:c r="O10" s="16" t="e">
        <x:f>IF(输出函数真值表!O11=1,$E10&amp;"+","")</x:f>
      </x:c>
      <x:c r="P10" s="16" t="e">
        <x:f>IF(输出函数真值表!P11=1,$E10&amp;"+","")</x:f>
      </x:c>
      <x:c r="Q10" s="16" t="e">
        <x:f>IF(输出函数真值表!Q11=1,$E10&amp;"+","")</x:f>
      </x:c>
    </x:row>
    <x:row r="11">
      <x:c r="A11" s="4" t="e">
        <x:f>IF(输出函数真值表!A12=1,输出函数真值表!A$2&amp;"&amp;",IF(输出函数真值表!A12=0,"~"&amp;输出函数真值表!A$2&amp;"&amp;",""))</x:f>
      </x:c>
      <x:c r="B11" s="6" t="e">
        <x:f>IF(输出函数真值表!B12=1,输出函数真值表!B$2&amp;"&amp;",IF(输出函数真值表!B12=0,"~"&amp;输出函数真值表!B$2&amp;"&amp;",""))</x:f>
      </x:c>
      <x:c r="C11" s="6" t="e">
        <x:f>IF(输出函数真值表!C12=1,输出函数真值表!C$2&amp;"&amp;",IF(输出函数真值表!C12=0,"~"&amp;输出函数真值表!C$2&amp;"&amp;",""))</x:f>
      </x:c>
      <x:c r="D11" s="7" t="e">
        <x:f>IF(输出函数真值表!D12=1,输出函数真值表!D$2&amp;"&amp;",IF(输出函数真值表!D12=0,"~"&amp;输出函数真值表!D$2&amp;"&amp;",""))</x:f>
      </x:c>
      <x:c r="E11" s="15" t="str">
        <x:f t="shared" si="0"/>
      </x:c>
      <x:c r="F11" s="17" t="e">
        <x:f>IF(输出函数真值表!F12=1,$E11&amp;"+","")</x:f>
      </x:c>
      <x:c r="G11" s="17" t="e">
        <x:f>IF(输出函数真值表!G12=1,$E11&amp;"+","")</x:f>
      </x:c>
      <x:c r="H11" s="17" t="e">
        <x:f>IF(输出函数真值表!H12=1,$E11&amp;"+","")</x:f>
      </x:c>
      <x:c r="I11" s="17" t="e">
        <x:f>IF(输出函数真值表!I12=1,$E11&amp;"+","")</x:f>
      </x:c>
      <x:c r="J11" s="17" t="e">
        <x:f>IF(输出函数真值表!J12=1,$E11&amp;"+","")</x:f>
      </x:c>
      <x:c r="K11" s="16" t="e">
        <x:f>IF(输出函数真值表!K12=1,$E11&amp;"+","")</x:f>
      </x:c>
      <x:c r="L11" s="16" t="e">
        <x:f>IF(输出函数真值表!L12=1,$E11&amp;"+","")</x:f>
      </x:c>
      <x:c r="M11" s="16" t="e">
        <x:f>IF(输出函数真值表!M12=1,$E11&amp;"+","")</x:f>
      </x:c>
      <x:c r="N11" s="16" t="e">
        <x:f>IF(输出函数真值表!N12=1,$E11&amp;"+","")</x:f>
      </x:c>
      <x:c r="O11" s="16" t="e">
        <x:f>IF(输出函数真值表!O12=1,$E11&amp;"+","")</x:f>
      </x:c>
      <x:c r="P11" s="16" t="e">
        <x:f>IF(输出函数真值表!P12=1,$E11&amp;"+","")</x:f>
      </x:c>
      <x:c r="Q11" s="16" t="e">
        <x:f>IF(输出函数真值表!Q12=1,$E11&amp;"+","")</x:f>
      </x:c>
    </x:row>
    <x:row r="12">
      <x:c r="A12" s="4" t="e">
        <x:f>IF(输出函数真值表!A13=1,输出函数真值表!A$2&amp;"&amp;",IF(输出函数真值表!A13=0,"~"&amp;输出函数真值表!A$2&amp;"&amp;",""))</x:f>
      </x:c>
      <x:c r="B12" s="6" t="e">
        <x:f>IF(输出函数真值表!B13=1,输出函数真值表!B$2&amp;"&amp;",IF(输出函数真值表!B13=0,"~"&amp;输出函数真值表!B$2&amp;"&amp;",""))</x:f>
      </x:c>
      <x:c r="C12" s="6" t="e">
        <x:f>IF(输出函数真值表!C13=1,输出函数真值表!C$2&amp;"&amp;",IF(输出函数真值表!C13=0,"~"&amp;输出函数真值表!C$2&amp;"&amp;",""))</x:f>
      </x:c>
      <x:c r="D12" s="7" t="e">
        <x:f>IF(输出函数真值表!D13=1,输出函数真值表!D$2&amp;"&amp;",IF(输出函数真值表!D13=0,"~"&amp;输出函数真值表!D$2&amp;"&amp;",""))</x:f>
      </x:c>
      <x:c r="E12" s="15" t="str">
        <x:f t="shared" si="0"/>
      </x:c>
      <x:c r="F12" s="17" t="e">
        <x:f>IF(输出函数真值表!F13=1,$E12&amp;"+","")</x:f>
      </x:c>
      <x:c r="G12" s="17" t="e">
        <x:f>IF(输出函数真值表!G13=1,$E12&amp;"+","")</x:f>
      </x:c>
      <x:c r="H12" s="17" t="e">
        <x:f>IF(输出函数真值表!H13=1,$E12&amp;"+","")</x:f>
      </x:c>
      <x:c r="I12" s="17" t="e">
        <x:f>IF(输出函数真值表!I13=1,$E12&amp;"+","")</x:f>
      </x:c>
      <x:c r="J12" s="17" t="e">
        <x:f>IF(输出函数真值表!J13=1,$E12&amp;"+","")</x:f>
      </x:c>
      <x:c r="K12" s="16" t="e">
        <x:f>IF(输出函数真值表!K13=1,$E12&amp;"+","")</x:f>
      </x:c>
      <x:c r="L12" s="16" t="e">
        <x:f>IF(输出函数真值表!L13=1,$E12&amp;"+","")</x:f>
      </x:c>
      <x:c r="M12" s="16" t="e">
        <x:f>IF(输出函数真值表!M13=1,$E12&amp;"+","")</x:f>
      </x:c>
      <x:c r="N12" s="16" t="e">
        <x:f>IF(输出函数真值表!N13=1,$E12&amp;"+","")</x:f>
      </x:c>
      <x:c r="O12" s="16" t="e">
        <x:f>IF(输出函数真值表!O13=1,$E12&amp;"+","")</x:f>
      </x:c>
      <x:c r="P12" s="16" t="e">
        <x:f>IF(输出函数真值表!P13=1,$E12&amp;"+","")</x:f>
      </x:c>
      <x:c r="Q12" s="16" t="e">
        <x:f>IF(输出函数真值表!Q13=1,$E12&amp;"+","")</x:f>
      </x:c>
    </x:row>
    <x:row r="13">
      <x:c r="A13" s="4" t="e">
        <x:f>IF(输出函数真值表!A14=1,输出函数真值表!A$2&amp;"&amp;",IF(输出函数真值表!A14=0,"~"&amp;输出函数真值表!A$2&amp;"&amp;",""))</x:f>
      </x:c>
      <x:c r="B13" s="6" t="e">
        <x:f>IF(输出函数真值表!B14=1,输出函数真值表!B$2&amp;"&amp;",IF(输出函数真值表!B14=0,"~"&amp;输出函数真值表!B$2&amp;"&amp;",""))</x:f>
      </x:c>
      <x:c r="C13" s="6" t="e">
        <x:f>IF(输出函数真值表!C14=1,输出函数真值表!C$2&amp;"&amp;",IF(输出函数真值表!C14=0,"~"&amp;输出函数真值表!C$2&amp;"&amp;",""))</x:f>
      </x:c>
      <x:c r="D13" s="7" t="e">
        <x:f>IF(输出函数真值表!D14=1,输出函数真值表!D$2&amp;"&amp;",IF(输出函数真值表!D14=0,"~"&amp;输出函数真值表!D$2&amp;"&amp;",""))</x:f>
      </x:c>
      <x:c r="E13" s="15" t="str">
        <x:f t="shared" si="0"/>
      </x:c>
      <x:c r="F13" s="17" t="e">
        <x:f>IF(输出函数真值表!F14=1,$E13&amp;"+","")</x:f>
      </x:c>
      <x:c r="G13" s="17" t="e">
        <x:f>IF(输出函数真值表!G14=1,$E13&amp;"+","")</x:f>
      </x:c>
      <x:c r="H13" s="17" t="e">
        <x:f>IF(输出函数真值表!H14=1,$E13&amp;"+","")</x:f>
      </x:c>
      <x:c r="I13" s="17" t="e">
        <x:f>IF(输出函数真值表!I14=1,$E13&amp;"+","")</x:f>
      </x:c>
      <x:c r="J13" s="17" t="e">
        <x:f>IF(输出函数真值表!J14=1,$E13&amp;"+","")</x:f>
      </x:c>
      <x:c r="K13" s="16" t="e">
        <x:f>IF(输出函数真值表!K14=1,$E13&amp;"+","")</x:f>
      </x:c>
      <x:c r="L13" s="16" t="e">
        <x:f>IF(输出函数真值表!L14=1,$E13&amp;"+","")</x:f>
      </x:c>
      <x:c r="M13" s="16" t="e">
        <x:f>IF(输出函数真值表!M14=1,$E13&amp;"+","")</x:f>
      </x:c>
      <x:c r="N13" s="16" t="e">
        <x:f>IF(输出函数真值表!N14=1,$E13&amp;"+","")</x:f>
      </x:c>
      <x:c r="O13" s="16" t="e">
        <x:f>IF(输出函数真值表!O14=1,$E13&amp;"+","")</x:f>
      </x:c>
      <x:c r="P13" s="16" t="e">
        <x:f>IF(输出函数真值表!P14=1,$E13&amp;"+","")</x:f>
      </x:c>
      <x:c r="Q13" s="16" t="e">
        <x:f>IF(输出函数真值表!Q14=1,$E13&amp;"+","")</x:f>
      </x:c>
    </x:row>
    <x:row r="14">
      <x:c r="A14" s="4" t="e">
        <x:f>IF(输出函数真值表!A15=1,输出函数真值表!A$2&amp;"&amp;",IF(输出函数真值表!A15=0,"~"&amp;输出函数真值表!A$2&amp;"&amp;",""))</x:f>
      </x:c>
      <x:c r="B14" s="6" t="e">
        <x:f>IF(输出函数真值表!B15=1,输出函数真值表!B$2&amp;"&amp;",IF(输出函数真值表!B15=0,"~"&amp;输出函数真值表!B$2&amp;"&amp;",""))</x:f>
      </x:c>
      <x:c r="C14" s="6" t="e">
        <x:f>IF(输出函数真值表!C15=1,输出函数真值表!C$2&amp;"&amp;",IF(输出函数真值表!C15=0,"~"&amp;输出函数真值表!C$2&amp;"&amp;",""))</x:f>
      </x:c>
      <x:c r="D14" s="7" t="e">
        <x:f>IF(输出函数真值表!D15=1,输出函数真值表!D$2&amp;"&amp;",IF(输出函数真值表!D15=0,"~"&amp;输出函数真值表!D$2&amp;"&amp;",""))</x:f>
      </x:c>
      <x:c r="E14" s="15" t="str">
        <x:f t="shared" si="0"/>
      </x:c>
      <x:c r="F14" s="17" t="e">
        <x:f>IF(输出函数真值表!F15=1,$E14&amp;"+","")</x:f>
      </x:c>
      <x:c r="G14" s="17" t="e">
        <x:f>IF(输出函数真值表!G15=1,$E14&amp;"+","")</x:f>
      </x:c>
      <x:c r="H14" s="17" t="e">
        <x:f>IF(输出函数真值表!H15=1,$E14&amp;"+","")</x:f>
      </x:c>
      <x:c r="I14" s="17" t="e">
        <x:f>IF(输出函数真值表!I15=1,$E14&amp;"+","")</x:f>
      </x:c>
      <x:c r="J14" s="17" t="e">
        <x:f>IF(输出函数真值表!J15=1,$E14&amp;"+","")</x:f>
      </x:c>
      <x:c r="K14" s="16" t="e">
        <x:f>IF(输出函数真值表!K15=1,$E14&amp;"+","")</x:f>
      </x:c>
      <x:c r="L14" s="16" t="e">
        <x:f>IF(输出函数真值表!L15=1,$E14&amp;"+","")</x:f>
      </x:c>
      <x:c r="M14" s="16" t="e">
        <x:f>IF(输出函数真值表!M15=1,$E14&amp;"+","")</x:f>
      </x:c>
      <x:c r="N14" s="16" t="e">
        <x:f>IF(输出函数真值表!N15=1,$E14&amp;"+","")</x:f>
      </x:c>
      <x:c r="O14" s="16" t="e">
        <x:f>IF(输出函数真值表!O15=1,$E14&amp;"+","")</x:f>
      </x:c>
      <x:c r="P14" s="16" t="e">
        <x:f>IF(输出函数真值表!P15=1,$E14&amp;"+","")</x:f>
      </x:c>
      <x:c r="Q14" s="16" t="e">
        <x:f>IF(输出函数真值表!Q15=1,$E14&amp;"+","")</x:f>
      </x:c>
    </x:row>
    <x:row r="15">
      <x:c r="A15" s="4" t="e">
        <x:f>IF(输出函数真值表!A16=1,输出函数真值表!A$2&amp;"&amp;",IF(输出函数真值表!A16=0,"~"&amp;输出函数真值表!A$2&amp;"&amp;",""))</x:f>
      </x:c>
      <x:c r="B15" s="6" t="e">
        <x:f>IF(输出函数真值表!B16=1,输出函数真值表!B$2&amp;"&amp;",IF(输出函数真值表!B16=0,"~"&amp;输出函数真值表!B$2&amp;"&amp;",""))</x:f>
      </x:c>
      <x:c r="C15" s="6" t="e">
        <x:f>IF(输出函数真值表!C16=1,输出函数真值表!C$2&amp;"&amp;",IF(输出函数真值表!C16=0,"~"&amp;输出函数真值表!C$2&amp;"&amp;",""))</x:f>
      </x:c>
      <x:c r="D15" s="7" t="e">
        <x:f>IF(输出函数真值表!D16=1,输出函数真值表!D$2&amp;"&amp;",IF(输出函数真值表!D16=0,"~"&amp;输出函数真值表!D$2&amp;"&amp;",""))</x:f>
      </x:c>
      <x:c r="E15" s="15" t="str">
        <x:f t="shared" si="0"/>
      </x:c>
      <x:c r="F15" s="17" t="e">
        <x:f>IF(输出函数真值表!F16=1,$E15&amp;"+","")</x:f>
      </x:c>
      <x:c r="G15" s="17" t="e">
        <x:f>IF(输出函数真值表!G16=1,$E15&amp;"+","")</x:f>
      </x:c>
      <x:c r="H15" s="17" t="e">
        <x:f>IF(输出函数真值表!H16=1,$E15&amp;"+","")</x:f>
      </x:c>
      <x:c r="I15" s="17" t="e">
        <x:f>IF(输出函数真值表!I16=1,$E15&amp;"+","")</x:f>
      </x:c>
      <x:c r="J15" s="17" t="e">
        <x:f>IF(输出函数真值表!J16=1,$E15&amp;"+","")</x:f>
      </x:c>
      <x:c r="K15" s="16" t="e">
        <x:f>IF(输出函数真值表!K16=1,$E15&amp;"+","")</x:f>
      </x:c>
      <x:c r="L15" s="16" t="e">
        <x:f>IF(输出函数真值表!L16=1,$E15&amp;"+","")</x:f>
      </x:c>
      <x:c r="M15" s="16" t="e">
        <x:f>IF(输出函数真值表!M16=1,$E15&amp;"+","")</x:f>
      </x:c>
      <x:c r="N15" s="16" t="e">
        <x:f>IF(输出函数真值表!N16=1,$E15&amp;"+","")</x:f>
      </x:c>
      <x:c r="O15" s="16" t="e">
        <x:f>IF(输出函数真值表!O16=1,$E15&amp;"+","")</x:f>
      </x:c>
      <x:c r="P15" s="16" t="e">
        <x:f>IF(输出函数真值表!P16=1,$E15&amp;"+","")</x:f>
      </x:c>
      <x:c r="Q15" s="16" t="e">
        <x:f>IF(输出函数真值表!Q16=1,$E15&amp;"+","")</x:f>
      </x:c>
    </x:row>
    <x:row r="16">
      <x:c r="A16" s="4" t="e">
        <x:f>IF(输出函数真值表!A17=1,输出函数真值表!A$2&amp;"&amp;",IF(输出函数真值表!A17=0,"~"&amp;输出函数真值表!A$2&amp;"&amp;",""))</x:f>
      </x:c>
      <x:c r="B16" s="6" t="e">
        <x:f>IF(输出函数真值表!B17=1,输出函数真值表!B$2&amp;"&amp;",IF(输出函数真值表!B17=0,"~"&amp;输出函数真值表!B$2&amp;"&amp;",""))</x:f>
      </x:c>
      <x:c r="C16" s="6" t="e">
        <x:f>IF(输出函数真值表!C17=1,输出函数真值表!C$2&amp;"&amp;",IF(输出函数真值表!C17=0,"~"&amp;输出函数真值表!C$2&amp;"&amp;",""))</x:f>
      </x:c>
      <x:c r="D16" s="7" t="e">
        <x:f>IF(输出函数真值表!D17=1,输出函数真值表!D$2&amp;"&amp;",IF(输出函数真值表!D17=0,"~"&amp;输出函数真值表!D$2&amp;"&amp;",""))</x:f>
      </x:c>
      <x:c r="E16" s="15" t="str">
        <x:f t="shared" si="0"/>
      </x:c>
      <x:c r="F16" s="17" t="e">
        <x:f>IF(输出函数真值表!F17=1,$E16&amp;"+","")</x:f>
      </x:c>
      <x:c r="G16" s="17" t="e">
        <x:f>IF(输出函数真值表!G17=1,$E16&amp;"+","")</x:f>
      </x:c>
      <x:c r="H16" s="17" t="e">
        <x:f>IF(输出函数真值表!H17=1,$E16&amp;"+","")</x:f>
      </x:c>
      <x:c r="I16" s="17" t="e">
        <x:f>IF(输出函数真值表!I17=1,$E16&amp;"+","")</x:f>
      </x:c>
      <x:c r="J16" s="17" t="e">
        <x:f>IF(输出函数真值表!J17=1,$E16&amp;"+","")</x:f>
      </x:c>
      <x:c r="K16" s="16" t="e">
        <x:f>IF(输出函数真值表!K17=1,$E16&amp;"+","")</x:f>
      </x:c>
      <x:c r="L16" s="16" t="e">
        <x:f>IF(输出函数真值表!L17=1,$E16&amp;"+","")</x:f>
      </x:c>
      <x:c r="M16" s="16" t="e">
        <x:f>IF(输出函数真值表!M17=1,$E16&amp;"+","")</x:f>
      </x:c>
      <x:c r="N16" s="16" t="e">
        <x:f>IF(输出函数真值表!N17=1,$E16&amp;"+","")</x:f>
      </x:c>
      <x:c r="O16" s="16" t="e">
        <x:f>IF(输出函数真值表!O17=1,$E16&amp;"+","")</x:f>
      </x:c>
      <x:c r="P16" s="16" t="e">
        <x:f>IF(输出函数真值表!P17=1,$E16&amp;"+","")</x:f>
      </x:c>
      <x:c r="Q16" s="16" t="e">
        <x:f>IF(输出函数真值表!Q17=1,$E16&amp;"+","")</x:f>
      </x:c>
    </x:row>
    <x:row r="17">
      <x:c r="A17" s="4" t="e">
        <x:f>IF(输出函数真值表!A18=1,输出函数真值表!A$2&amp;"&amp;",IF(输出函数真值表!A18=0,"~"&amp;输出函数真值表!A$2&amp;"&amp;",""))</x:f>
      </x:c>
      <x:c r="B17" s="6" t="e">
        <x:f>IF(输出函数真值表!B18=1,输出函数真值表!B$2&amp;"&amp;",IF(输出函数真值表!B18=0,"~"&amp;输出函数真值表!B$2&amp;"&amp;",""))</x:f>
      </x:c>
      <x:c r="C17" s="6" t="e">
        <x:f>IF(输出函数真值表!C18=1,输出函数真值表!C$2&amp;"&amp;",IF(输出函数真值表!C18=0,"~"&amp;输出函数真值表!C$2&amp;"&amp;",""))</x:f>
      </x:c>
      <x:c r="D17" s="7" t="e">
        <x:f>IF(输出函数真值表!D18=1,输出函数真值表!D$2&amp;"&amp;",IF(输出函数真值表!D18=0,"~"&amp;输出函数真值表!D$2&amp;"&amp;",""))</x:f>
      </x:c>
      <x:c r="E17" s="15" t="str">
        <x:f t="shared" si="0"/>
      </x:c>
      <x:c r="F17" s="17" t="e">
        <x:f>IF(输出函数真值表!F18=1,$E17&amp;"+","")</x:f>
      </x:c>
      <x:c r="G17" s="17" t="e">
        <x:f>IF(输出函数真值表!G18=1,$E17&amp;"+","")</x:f>
      </x:c>
      <x:c r="H17" s="17" t="e">
        <x:f>IF(输出函数真值表!H18=1,$E17&amp;"+","")</x:f>
      </x:c>
      <x:c r="I17" s="17" t="e">
        <x:f>IF(输出函数真值表!I18=1,$E17&amp;"+","")</x:f>
      </x:c>
      <x:c r="J17" s="17" t="e">
        <x:f>IF(输出函数真值表!J18=1,$E17&amp;"+","")</x:f>
      </x:c>
      <x:c r="K17" s="16" t="e">
        <x:f>IF(输出函数真值表!K18=1,$E17&amp;"+","")</x:f>
      </x:c>
      <x:c r="L17" s="16" t="e">
        <x:f>IF(输出函数真值表!L18=1,$E17&amp;"+","")</x:f>
      </x:c>
      <x:c r="M17" s="16" t="e">
        <x:f>IF(输出函数真值表!M18=1,$E17&amp;"+","")</x:f>
      </x:c>
      <x:c r="N17" s="16" t="e">
        <x:f>IF(输出函数真值表!N18=1,$E17&amp;"+","")</x:f>
      </x:c>
      <x:c r="O17" s="16" t="e">
        <x:f>IF(输出函数真值表!O18=1,$E17&amp;"+","")</x:f>
      </x:c>
      <x:c r="P17" s="16" t="e">
        <x:f>IF(输出函数真值表!P18=1,$E17&amp;"+","")</x:f>
      </x:c>
      <x:c r="Q17" s="16" t="e">
        <x:f>IF(输出函数真值表!Q18=1,$E17&amp;"+","")</x:f>
      </x:c>
    </x:row>
    <x:row r="18">
      <x:c r="A18" s="4" t="e">
        <x:f>IF(输出函数真值表!A19=1,输出函数真值表!A$2&amp;"&amp;",IF(输出函数真值表!A19=0,"~"&amp;输出函数真值表!A$2&amp;"&amp;",""))</x:f>
      </x:c>
      <x:c r="B18" s="6" t="e">
        <x:f>IF(输出函数真值表!B19=1,输出函数真值表!B$2&amp;"&amp;",IF(输出函数真值表!B19=0,"~"&amp;输出函数真值表!B$2&amp;"&amp;",""))</x:f>
      </x:c>
      <x:c r="C18" s="6" t="e">
        <x:f>IF(输出函数真值表!C19=1,输出函数真值表!C$2&amp;"&amp;",IF(输出函数真值表!C19=0,"~"&amp;输出函数真值表!C$2&amp;"&amp;",""))</x:f>
      </x:c>
      <x:c r="D18" s="7" t="e">
        <x:f>IF(输出函数真值表!D19=1,输出函数真值表!D$2&amp;"&amp;",IF(输出函数真值表!D19=0,"~"&amp;输出函数真值表!D$2&amp;"&amp;",""))</x:f>
      </x:c>
      <x:c r="E18" s="15" t="str">
        <x:f t="shared" si="0"/>
      </x:c>
      <x:c r="F18" s="17" t="e">
        <x:f>IF(输出函数真值表!F19=1,$E18&amp;"+","")</x:f>
      </x:c>
      <x:c r="G18" s="17" t="e">
        <x:f>IF(输出函数真值表!G19=1,$E18&amp;"+","")</x:f>
      </x:c>
      <x:c r="H18" s="17" t="e">
        <x:f>IF(输出函数真值表!H19=1,$E18&amp;"+","")</x:f>
      </x:c>
      <x:c r="I18" s="17" t="e">
        <x:f>IF(输出函数真值表!I19=1,$E18&amp;"+","")</x:f>
      </x:c>
      <x:c r="J18" s="17" t="e">
        <x:f>IF(输出函数真值表!J19=1,$E18&amp;"+","")</x:f>
      </x:c>
      <x:c r="K18" s="16" t="e">
        <x:f>IF(输出函数真值表!K19=1,$E18&amp;"+","")</x:f>
      </x:c>
      <x:c r="L18" s="16" t="e">
        <x:f>IF(输出函数真值表!L19=1,$E18&amp;"+","")</x:f>
      </x:c>
      <x:c r="M18" s="16" t="e">
        <x:f>IF(输出函数真值表!M19=1,$E18&amp;"+","")</x:f>
      </x:c>
      <x:c r="N18" s="16" t="e">
        <x:f>IF(输出函数真值表!N19=1,$E18&amp;"+","")</x:f>
      </x:c>
      <x:c r="O18" s="16" t="e">
        <x:f>IF(输出函数真值表!O19=1,$E18&amp;"+","")</x:f>
      </x:c>
      <x:c r="P18" s="16" t="e">
        <x:f>IF(输出函数真值表!P19=1,$E18&amp;"+","")</x:f>
      </x:c>
      <x:c r="Q18" s="16" t="e">
        <x:f>IF(输出函数真值表!Q19=1,$E18&amp;"+","")</x:f>
      </x:c>
    </x:row>
    <x:row r="19">
      <x:c r="A19" s="4" t="e">
        <x:f>IF(输出函数真值表!A20=1,输出函数真值表!A$2&amp;"&amp;",IF(输出函数真值表!A20=0,"~"&amp;输出函数真值表!A$2&amp;"&amp;",""))</x:f>
      </x:c>
      <x:c r="B19" s="6" t="e">
        <x:f>IF(输出函数真值表!B20=1,输出函数真值表!B$2&amp;"&amp;",IF(输出函数真值表!B20=0,"~"&amp;输出函数真值表!B$2&amp;"&amp;",""))</x:f>
      </x:c>
      <x:c r="C19" s="6" t="e">
        <x:f>IF(输出函数真值表!C20=1,输出函数真值表!C$2&amp;"&amp;",IF(输出函数真值表!C20=0,"~"&amp;输出函数真值表!C$2&amp;"&amp;",""))</x:f>
      </x:c>
      <x:c r="D19" s="7" t="e">
        <x:f>IF(输出函数真值表!D20=1,输出函数真值表!D$2&amp;"&amp;",IF(输出函数真值表!D20=0,"~"&amp;输出函数真值表!D$2&amp;"&amp;",""))</x:f>
      </x:c>
      <x:c r="E19" s="15" t="str">
        <x:f t="shared" si="0"/>
      </x:c>
      <x:c r="F19" s="17" t="e">
        <x:f>IF(输出函数真值表!F20=1,$E19&amp;"+","")</x:f>
      </x:c>
      <x:c r="G19" s="17" t="e">
        <x:f>IF(输出函数真值表!G20=1,$E19&amp;"+","")</x:f>
      </x:c>
      <x:c r="H19" s="17" t="e">
        <x:f>IF(输出函数真值表!H20=1,$E19&amp;"+","")</x:f>
      </x:c>
      <x:c r="I19" s="17" t="e">
        <x:f>IF(输出函数真值表!I20=1,$E19&amp;"+","")</x:f>
      </x:c>
      <x:c r="J19" s="17" t="e">
        <x:f>IF(输出函数真值表!J20=1,$E19&amp;"+","")</x:f>
      </x:c>
      <x:c r="K19" s="16" t="e">
        <x:f>IF(输出函数真值表!K20=1,$E19&amp;"+","")</x:f>
      </x:c>
      <x:c r="L19" s="16" t="e">
        <x:f>IF(输出函数真值表!L20=1,$E19&amp;"+","")</x:f>
      </x:c>
      <x:c r="M19" s="16" t="e">
        <x:f>IF(输出函数真值表!M20=1,$E19&amp;"+","")</x:f>
      </x:c>
      <x:c r="N19" s="16" t="e">
        <x:f>IF(输出函数真值表!N20=1,$E19&amp;"+","")</x:f>
      </x:c>
      <x:c r="O19" s="16" t="e">
        <x:f>IF(输出函数真值表!O20=1,$E19&amp;"+","")</x:f>
      </x:c>
      <x:c r="P19" s="16" t="e">
        <x:f>IF(输出函数真值表!P20=1,$E19&amp;"+","")</x:f>
      </x:c>
      <x:c r="Q19" s="16" t="e">
        <x:f>IF(输出函数真值表!Q20=1,$E19&amp;"+","")</x:f>
      </x:c>
    </x:row>
    <x:row r="20">
      <x:c r="A20" s="4" t="e">
        <x:f>IF(输出函数真值表!A21=1,输出函数真值表!A$2&amp;"&amp;",IF(输出函数真值表!A21=0,"~"&amp;输出函数真值表!A$2&amp;"&amp;",""))</x:f>
      </x:c>
      <x:c r="B20" s="6" t="e">
        <x:f>IF(输出函数真值表!B21=1,输出函数真值表!B$2&amp;"&amp;",IF(输出函数真值表!B21=0,"~"&amp;输出函数真值表!B$2&amp;"&amp;",""))</x:f>
      </x:c>
      <x:c r="C20" s="6" t="e">
        <x:f>IF(输出函数真值表!C21=1,输出函数真值表!C$2&amp;"&amp;",IF(输出函数真值表!C21=0,"~"&amp;输出函数真值表!C$2&amp;"&amp;",""))</x:f>
      </x:c>
      <x:c r="D20" s="7" t="e">
        <x:f>IF(输出函数真值表!D21=1,输出函数真值表!D$2&amp;"&amp;",IF(输出函数真值表!D21=0,"~"&amp;输出函数真值表!D$2&amp;"&amp;",""))</x:f>
      </x:c>
      <x:c r="E20" s="15" t="str">
        <x:f t="shared" si="0"/>
      </x:c>
      <x:c r="F20" s="17" t="e">
        <x:f>IF(输出函数真值表!F21=1,$E20&amp;"+","")</x:f>
      </x:c>
      <x:c r="G20" s="17" t="e">
        <x:f>IF(输出函数真值表!G21=1,$E20&amp;"+","")</x:f>
      </x:c>
      <x:c r="H20" s="17" t="e">
        <x:f>IF(输出函数真值表!H21=1,$E20&amp;"+","")</x:f>
      </x:c>
      <x:c r="I20" s="17" t="e">
        <x:f>IF(输出函数真值表!I21=1,$E20&amp;"+","")</x:f>
      </x:c>
      <x:c r="J20" s="17" t="e">
        <x:f>IF(输出函数真值表!J21=1,$E20&amp;"+","")</x:f>
      </x:c>
      <x:c r="K20" s="16" t="e">
        <x:f>IF(输出函数真值表!K21=1,$E20&amp;"+","")</x:f>
      </x:c>
      <x:c r="L20" s="16" t="e">
        <x:f>IF(输出函数真值表!L21=1,$E20&amp;"+","")</x:f>
      </x:c>
      <x:c r="M20" s="16" t="e">
        <x:f>IF(输出函数真值表!M21=1,$E20&amp;"+","")</x:f>
      </x:c>
      <x:c r="N20" s="16" t="e">
        <x:f>IF(输出函数真值表!N21=1,$E20&amp;"+","")</x:f>
      </x:c>
      <x:c r="O20" s="16" t="e">
        <x:f>IF(输出函数真值表!O21=1,$E20&amp;"+","")</x:f>
      </x:c>
      <x:c r="P20" s="16" t="e">
        <x:f>IF(输出函数真值表!P21=1,$E20&amp;"+","")</x:f>
      </x:c>
      <x:c r="Q20" s="16" t="e">
        <x:f>IF(输出函数真值表!Q21=1,$E20&amp;"+","")</x:f>
      </x:c>
    </x:row>
    <x:row r="21">
      <x:c r="A21" s="4" t="e">
        <x:f>IF(输出函数真值表!A22=1,输出函数真值表!A$2&amp;"&amp;",IF(输出函数真值表!A22=0,"~"&amp;输出函数真值表!A$2&amp;"&amp;",""))</x:f>
      </x:c>
      <x:c r="B21" s="6" t="e">
        <x:f>IF(输出函数真值表!B22=1,输出函数真值表!B$2&amp;"&amp;",IF(输出函数真值表!B22=0,"~"&amp;输出函数真值表!B$2&amp;"&amp;",""))</x:f>
      </x:c>
      <x:c r="C21" s="6" t="e">
        <x:f>IF(输出函数真值表!C22=1,输出函数真值表!C$2&amp;"&amp;",IF(输出函数真值表!C22=0,"~"&amp;输出函数真值表!C$2&amp;"&amp;",""))</x:f>
      </x:c>
      <x:c r="D21" s="7" t="e">
        <x:f>IF(输出函数真值表!D22=1,输出函数真值表!D$2&amp;"&amp;",IF(输出函数真值表!D22=0,"~"&amp;输出函数真值表!D$2&amp;"&amp;",""))</x:f>
      </x:c>
      <x:c r="E21" s="15" t="str">
        <x:f t="shared" si="0"/>
      </x:c>
      <x:c r="F21" s="17" t="e">
        <x:f>IF(输出函数真值表!F22=1,$E21&amp;"+","")</x:f>
      </x:c>
      <x:c r="G21" s="17" t="e">
        <x:f>IF(输出函数真值表!G22=1,$E21&amp;"+","")</x:f>
      </x:c>
      <x:c r="H21" s="17" t="e">
        <x:f>IF(输出函数真值表!H22=1,$E21&amp;"+","")</x:f>
      </x:c>
      <x:c r="I21" s="17" t="e">
        <x:f>IF(输出函数真值表!I22=1,$E21&amp;"+","")</x:f>
      </x:c>
      <x:c r="J21" s="17" t="e">
        <x:f>IF(输出函数真值表!J22=1,$E21&amp;"+","")</x:f>
      </x:c>
      <x:c r="K21" s="16" t="e">
        <x:f>IF(输出函数真值表!K22=1,$E21&amp;"+","")</x:f>
      </x:c>
      <x:c r="L21" s="16" t="e">
        <x:f>IF(输出函数真值表!L22=1,$E21&amp;"+","")</x:f>
      </x:c>
      <x:c r="M21" s="16" t="e">
        <x:f>IF(输出函数真值表!M22=1,$E21&amp;"+","")</x:f>
      </x:c>
      <x:c r="N21" s="16" t="e">
        <x:f>IF(输出函数真值表!N22=1,$E21&amp;"+","")</x:f>
      </x:c>
      <x:c r="O21" s="16" t="e">
        <x:f>IF(输出函数真值表!O22=1,$E21&amp;"+","")</x:f>
      </x:c>
      <x:c r="P21" s="16" t="e">
        <x:f>IF(输出函数真值表!P22=1,$E21&amp;"+","")</x:f>
      </x:c>
      <x:c r="Q21" s="16" t="e">
        <x:f>IF(输出函数真值表!Q22=1,$E21&amp;"+","")</x:f>
      </x:c>
    </x:row>
    <x:row r="22">
      <x:c r="A22" s="4" t="e">
        <x:f>IF(输出函数真值表!A23=1,输出函数真值表!A$2&amp;"&amp;",IF(输出函数真值表!A23=0,"~"&amp;输出函数真值表!A$2&amp;"&amp;",""))</x:f>
      </x:c>
      <x:c r="B22" s="6" t="e">
        <x:f>IF(输出函数真值表!B23=1,输出函数真值表!B$2&amp;"&amp;",IF(输出函数真值表!B23=0,"~"&amp;输出函数真值表!B$2&amp;"&amp;",""))</x:f>
      </x:c>
      <x:c r="C22" s="6" t="e">
        <x:f>IF(输出函数真值表!C23=1,输出函数真值表!C$2&amp;"&amp;",IF(输出函数真值表!C23=0,"~"&amp;输出函数真值表!C$2&amp;"&amp;",""))</x:f>
      </x:c>
      <x:c r="D22" s="7" t="e">
        <x:f>IF(输出函数真值表!D23=1,输出函数真值表!D$2&amp;"&amp;",IF(输出函数真值表!D23=0,"~"&amp;输出函数真值表!D$2&amp;"&amp;",""))</x:f>
      </x:c>
      <x:c r="E22" s="15" t="str">
        <x:f t="shared" si="0"/>
      </x:c>
      <x:c r="F22" s="17" t="e">
        <x:f>IF(输出函数真值表!F23=1,$E22&amp;"+","")</x:f>
      </x:c>
      <x:c r="G22" s="17" t="e">
        <x:f>IF(输出函数真值表!G23=1,$E22&amp;"+","")</x:f>
      </x:c>
      <x:c r="H22" s="17" t="e">
        <x:f>IF(输出函数真值表!H23=1,$E22&amp;"+","")</x:f>
      </x:c>
      <x:c r="I22" s="17" t="e">
        <x:f>IF(输出函数真值表!I23=1,$E22&amp;"+","")</x:f>
      </x:c>
      <x:c r="J22" s="17" t="e">
        <x:f>IF(输出函数真值表!J23=1,$E22&amp;"+","")</x:f>
      </x:c>
      <x:c r="K22" s="16" t="e">
        <x:f>IF(输出函数真值表!K23=1,$E22&amp;"+","")</x:f>
      </x:c>
      <x:c r="L22" s="16" t="e">
        <x:f>IF(输出函数真值表!L23=1,$E22&amp;"+","")</x:f>
      </x:c>
      <x:c r="M22" s="16" t="e">
        <x:f>IF(输出函数真值表!M23=1,$E22&amp;"+","")</x:f>
      </x:c>
      <x:c r="N22" s="16" t="e">
        <x:f>IF(输出函数真值表!N23=1,$E22&amp;"+","")</x:f>
      </x:c>
      <x:c r="O22" s="16" t="e">
        <x:f>IF(输出函数真值表!O23=1,$E22&amp;"+","")</x:f>
      </x:c>
      <x:c r="P22" s="16" t="e">
        <x:f>IF(输出函数真值表!P23=1,$E22&amp;"+","")</x:f>
      </x:c>
      <x:c r="Q22" s="16" t="e">
        <x:f>IF(输出函数真值表!Q23=1,$E22&amp;"+","")</x:f>
      </x:c>
    </x:row>
    <x:row r="23">
      <x:c r="A23" s="4" t="e">
        <x:f>IF(输出函数真值表!A24=1,输出函数真值表!A$2&amp;"&amp;",IF(输出函数真值表!A24=0,"~"&amp;输出函数真值表!A$2&amp;"&amp;",""))</x:f>
      </x:c>
      <x:c r="B23" s="6" t="e">
        <x:f>IF(输出函数真值表!B24=1,输出函数真值表!B$2&amp;"&amp;",IF(输出函数真值表!B24=0,"~"&amp;输出函数真值表!B$2&amp;"&amp;",""))</x:f>
      </x:c>
      <x:c r="C23" s="6" t="e">
        <x:f>IF(输出函数真值表!C24=1,输出函数真值表!C$2&amp;"&amp;",IF(输出函数真值表!C24=0,"~"&amp;输出函数真值表!C$2&amp;"&amp;",""))</x:f>
      </x:c>
      <x:c r="D23" s="7" t="e">
        <x:f>IF(输出函数真值表!D24=1,输出函数真值表!D$2&amp;"&amp;",IF(输出函数真值表!D24=0,"~"&amp;输出函数真值表!D$2&amp;"&amp;",""))</x:f>
      </x:c>
      <x:c r="E23" s="15" t="str">
        <x:f t="shared" si="0"/>
      </x:c>
      <x:c r="F23" s="17" t="e">
        <x:f>IF(输出函数真值表!F24=1,$E23&amp;"+","")</x:f>
      </x:c>
      <x:c r="G23" s="17" t="e">
        <x:f>IF(输出函数真值表!G24=1,$E23&amp;"+","")</x:f>
      </x:c>
      <x:c r="H23" s="17" t="e">
        <x:f>IF(输出函数真值表!H24=1,$E23&amp;"+","")</x:f>
      </x:c>
      <x:c r="I23" s="17" t="e">
        <x:f>IF(输出函数真值表!I24=1,$E23&amp;"+","")</x:f>
      </x:c>
      <x:c r="J23" s="17" t="e">
        <x:f>IF(输出函数真值表!J24=1,$E23&amp;"+","")</x:f>
      </x:c>
      <x:c r="K23" s="16" t="e">
        <x:f>IF(输出函数真值表!K24=1,$E23&amp;"+","")</x:f>
      </x:c>
      <x:c r="L23" s="16" t="e">
        <x:f>IF(输出函数真值表!L24=1,$E23&amp;"+","")</x:f>
      </x:c>
      <x:c r="M23" s="16" t="e">
        <x:f>IF(输出函数真值表!M24=1,$E23&amp;"+","")</x:f>
      </x:c>
      <x:c r="N23" s="16" t="e">
        <x:f>IF(输出函数真值表!N24=1,$E23&amp;"+","")</x:f>
      </x:c>
      <x:c r="O23" s="16" t="e">
        <x:f>IF(输出函数真值表!O24=1,$E23&amp;"+","")</x:f>
      </x:c>
      <x:c r="P23" s="16" t="e">
        <x:f>IF(输出函数真值表!P24=1,$E23&amp;"+","")</x:f>
      </x:c>
      <x:c r="Q23" s="16" t="e">
        <x:f>IF(输出函数真值表!Q24=1,$E23&amp;"+","")</x:f>
      </x:c>
    </x:row>
    <x:row r="24">
      <x:c r="A24" s="4" t="e">
        <x:f>IF(输出函数真值表!A25=1,输出函数真值表!A$2&amp;"&amp;",IF(输出函数真值表!A25=0,"~"&amp;输出函数真值表!A$2&amp;"&amp;",""))</x:f>
      </x:c>
      <x:c r="B24" s="6" t="e">
        <x:f>IF(输出函数真值表!B25=1,输出函数真值表!B$2&amp;"&amp;",IF(输出函数真值表!B25=0,"~"&amp;输出函数真值表!B$2&amp;"&amp;",""))</x:f>
      </x:c>
      <x:c r="C24" s="6" t="e">
        <x:f>IF(输出函数真值表!C25=1,输出函数真值表!C$2&amp;"&amp;",IF(输出函数真值表!C25=0,"~"&amp;输出函数真值表!C$2&amp;"&amp;",""))</x:f>
      </x:c>
      <x:c r="D24" s="7" t="e">
        <x:f>IF(输出函数真值表!D25=1,输出函数真值表!D$2&amp;"&amp;",IF(输出函数真值表!D25=0,"~"&amp;输出函数真值表!D$2&amp;"&amp;",""))</x:f>
      </x:c>
      <x:c r="E24" s="15" t="str">
        <x:f t="shared" si="0"/>
      </x:c>
      <x:c r="F24" s="17" t="e">
        <x:f>IF(输出函数真值表!F25=1,$E24&amp;"+","")</x:f>
      </x:c>
      <x:c r="G24" s="17" t="e">
        <x:f>IF(输出函数真值表!G25=1,$E24&amp;"+","")</x:f>
      </x:c>
      <x:c r="H24" s="17" t="e">
        <x:f>IF(输出函数真值表!H25=1,$E24&amp;"+","")</x:f>
      </x:c>
      <x:c r="I24" s="17" t="e">
        <x:f>IF(输出函数真值表!I25=1,$E24&amp;"+","")</x:f>
      </x:c>
      <x:c r="J24" s="17" t="e">
        <x:f>IF(输出函数真值表!J25=1,$E24&amp;"+","")</x:f>
      </x:c>
      <x:c r="K24" s="16" t="e">
        <x:f>IF(输出函数真值表!K25=1,$E24&amp;"+","")</x:f>
      </x:c>
      <x:c r="L24" s="16" t="e">
        <x:f>IF(输出函数真值表!L25=1,$E24&amp;"+","")</x:f>
      </x:c>
      <x:c r="M24" s="16" t="e">
        <x:f>IF(输出函数真值表!M25=1,$E24&amp;"+","")</x:f>
      </x:c>
      <x:c r="N24" s="16" t="e">
        <x:f>IF(输出函数真值表!N25=1,$E24&amp;"+","")</x:f>
      </x:c>
      <x:c r="O24" s="16" t="e">
        <x:f>IF(输出函数真值表!O25=1,$E24&amp;"+","")</x:f>
      </x:c>
      <x:c r="P24" s="16" t="e">
        <x:f>IF(输出函数真值表!P25=1,$E24&amp;"+","")</x:f>
      </x:c>
      <x:c r="Q24" s="16" t="e">
        <x:f>IF(输出函数真值表!Q25=1,$E24&amp;"+","")</x:f>
      </x:c>
    </x:row>
    <x:row r="25">
      <x:c r="A25" s="4" t="e">
        <x:f>IF(输出函数真值表!A26=1,输出函数真值表!A$2&amp;"&amp;",IF(输出函数真值表!A26=0,"~"&amp;输出函数真值表!A$2&amp;"&amp;",""))</x:f>
      </x:c>
      <x:c r="B25" s="6" t="e">
        <x:f>IF(输出函数真值表!B26=1,输出函数真值表!B$2&amp;"&amp;",IF(输出函数真值表!B26=0,"~"&amp;输出函数真值表!B$2&amp;"&amp;",""))</x:f>
      </x:c>
      <x:c r="C25" s="6" t="e">
        <x:f>IF(输出函数真值表!C26=1,输出函数真值表!C$2&amp;"&amp;",IF(输出函数真值表!C26=0,"~"&amp;输出函数真值表!C$2&amp;"&amp;",""))</x:f>
      </x:c>
      <x:c r="D25" s="7" t="e">
        <x:f>IF(输出函数真值表!D26=1,输出函数真值表!D$2&amp;"&amp;",IF(输出函数真值表!D26=0,"~"&amp;输出函数真值表!D$2&amp;"&amp;",""))</x:f>
      </x:c>
      <x:c r="E25" s="15" t="str">
        <x:f t="shared" si="0"/>
      </x:c>
      <x:c r="F25" s="17" t="e">
        <x:f>IF(输出函数真值表!F26=1,$E25&amp;"+","")</x:f>
      </x:c>
      <x:c r="G25" s="17" t="e">
        <x:f>IF(输出函数真值表!G26=1,$E25&amp;"+","")</x:f>
      </x:c>
      <x:c r="H25" s="17" t="e">
        <x:f>IF(输出函数真值表!H26=1,$E25&amp;"+","")</x:f>
      </x:c>
      <x:c r="I25" s="17" t="e">
        <x:f>IF(输出函数真值表!I26=1,$E25&amp;"+","")</x:f>
      </x:c>
      <x:c r="J25" s="17" t="e">
        <x:f>IF(输出函数真值表!J26=1,$E25&amp;"+","")</x:f>
      </x:c>
      <x:c r="K25" s="16" t="e">
        <x:f>IF(输出函数真值表!K26=1,$E25&amp;"+","")</x:f>
      </x:c>
      <x:c r="L25" s="16" t="e">
        <x:f>IF(输出函数真值表!L26=1,$E25&amp;"+","")</x:f>
      </x:c>
      <x:c r="M25" s="16" t="e">
        <x:f>IF(输出函数真值表!M26=1,$E25&amp;"+","")</x:f>
      </x:c>
      <x:c r="N25" s="16" t="e">
        <x:f>IF(输出函数真值表!N26=1,$E25&amp;"+","")</x:f>
      </x:c>
      <x:c r="O25" s="16" t="e">
        <x:f>IF(输出函数真值表!O26=1,$E25&amp;"+","")</x:f>
      </x:c>
      <x:c r="P25" s="16" t="e">
        <x:f>IF(输出函数真值表!P26=1,$E25&amp;"+","")</x:f>
      </x:c>
      <x:c r="Q25" s="16" t="e">
        <x:f>IF(输出函数真值表!Q26=1,$E25&amp;"+","")</x:f>
      </x:c>
    </x:row>
    <x:row r="26">
      <x:c r="A26" s="4" t="e">
        <x:f>IF(输出函数真值表!A27=1,输出函数真值表!A$2&amp;"&amp;",IF(输出函数真值表!A27=0,"~"&amp;输出函数真值表!A$2&amp;"&amp;",""))</x:f>
      </x:c>
      <x:c r="B26" s="6" t="e">
        <x:f>IF(输出函数真值表!B27=1,输出函数真值表!B$2&amp;"&amp;",IF(输出函数真值表!B27=0,"~"&amp;输出函数真值表!B$2&amp;"&amp;",""))</x:f>
      </x:c>
      <x:c r="C26" s="6" t="e">
        <x:f>IF(输出函数真值表!C27=1,输出函数真值表!C$2&amp;"&amp;",IF(输出函数真值表!C27=0,"~"&amp;输出函数真值表!C$2&amp;"&amp;",""))</x:f>
      </x:c>
      <x:c r="D26" s="7" t="e">
        <x:f>IF(输出函数真值表!D27=1,输出函数真值表!D$2&amp;"&amp;",IF(输出函数真值表!D27=0,"~"&amp;输出函数真值表!D$2&amp;"&amp;",""))</x:f>
      </x:c>
      <x:c r="E26" s="15" t="str">
        <x:f t="shared" si="0"/>
      </x:c>
      <x:c r="F26" s="17" t="e">
        <x:f>IF(输出函数真值表!F27=1,$E26&amp;"+","")</x:f>
      </x:c>
      <x:c r="G26" s="17" t="e">
        <x:f>IF(输出函数真值表!G27=1,$E26&amp;"+","")</x:f>
      </x:c>
      <x:c r="H26" s="17" t="e">
        <x:f>IF(输出函数真值表!H27=1,$E26&amp;"+","")</x:f>
      </x:c>
      <x:c r="I26" s="17" t="e">
        <x:f>IF(输出函数真值表!I27=1,$E26&amp;"+","")</x:f>
      </x:c>
      <x:c r="J26" s="17" t="e">
        <x:f>IF(输出函数真值表!J27=1,$E26&amp;"+","")</x:f>
      </x:c>
      <x:c r="K26" s="16" t="e">
        <x:f>IF(输出函数真值表!K27=1,$E26&amp;"+","")</x:f>
      </x:c>
      <x:c r="L26" s="16" t="e">
        <x:f>IF(输出函数真值表!L27=1,$E26&amp;"+","")</x:f>
      </x:c>
      <x:c r="M26" s="16" t="e">
        <x:f>IF(输出函数真值表!M27=1,$E26&amp;"+","")</x:f>
      </x:c>
      <x:c r="N26" s="16" t="e">
        <x:f>IF(输出函数真值表!N27=1,$E26&amp;"+","")</x:f>
      </x:c>
      <x:c r="O26" s="16" t="e">
        <x:f>IF(输出函数真值表!O27=1,$E26&amp;"+","")</x:f>
      </x:c>
      <x:c r="P26" s="16" t="e">
        <x:f>IF(输出函数真值表!P27=1,$E26&amp;"+","")</x:f>
      </x:c>
      <x:c r="Q26" s="16" t="e">
        <x:f>IF(输出函数真值表!Q27=1,$E26&amp;"+","")</x:f>
      </x:c>
    </x:row>
    <x:row r="27">
      <x:c r="A27" s="4" t="e">
        <x:f>IF(输出函数真值表!A28=1,输出函数真值表!A$2&amp;"&amp;",IF(输出函数真值表!A28=0,"~"&amp;输出函数真值表!A$2&amp;"&amp;",""))</x:f>
      </x:c>
      <x:c r="B27" s="6" t="e">
        <x:f>IF(输出函数真值表!B28=1,输出函数真值表!B$2&amp;"&amp;",IF(输出函数真值表!B28=0,"~"&amp;输出函数真值表!B$2&amp;"&amp;",""))</x:f>
      </x:c>
      <x:c r="C27" s="6" t="e">
        <x:f>IF(输出函数真值表!C28=1,输出函数真值表!C$2&amp;"&amp;",IF(输出函数真值表!C28=0,"~"&amp;输出函数真值表!C$2&amp;"&amp;",""))</x:f>
      </x:c>
      <x:c r="D27" s="7" t="e">
        <x:f>IF(输出函数真值表!D28=1,输出函数真值表!D$2&amp;"&amp;",IF(输出函数真值表!D28=0,"~"&amp;输出函数真值表!D$2&amp;"&amp;",""))</x:f>
      </x:c>
      <x:c r="E27" s="15" t="str">
        <x:f t="shared" si="0"/>
      </x:c>
      <x:c r="F27" s="17" t="e">
        <x:f>IF(输出函数真值表!F28=1,$E27&amp;"+","")</x:f>
      </x:c>
      <x:c r="G27" s="17" t="e">
        <x:f>IF(输出函数真值表!G28=1,$E27&amp;"+","")</x:f>
      </x:c>
      <x:c r="H27" s="17" t="e">
        <x:f>IF(输出函数真值表!H28=1,$E27&amp;"+","")</x:f>
      </x:c>
      <x:c r="I27" s="17" t="e">
        <x:f>IF(输出函数真值表!I28=1,$E27&amp;"+","")</x:f>
      </x:c>
      <x:c r="J27" s="17" t="e">
        <x:f>IF(输出函数真值表!J28=1,$E27&amp;"+","")</x:f>
      </x:c>
      <x:c r="K27" s="16" t="e">
        <x:f>IF(输出函数真值表!K28=1,$E27&amp;"+","")</x:f>
      </x:c>
      <x:c r="L27" s="16" t="e">
        <x:f>IF(输出函数真值表!L28=1,$E27&amp;"+","")</x:f>
      </x:c>
      <x:c r="M27" s="16" t="e">
        <x:f>IF(输出函数真值表!M28=1,$E27&amp;"+","")</x:f>
      </x:c>
      <x:c r="N27" s="16" t="e">
        <x:f>IF(输出函数真值表!N28=1,$E27&amp;"+","")</x:f>
      </x:c>
      <x:c r="O27" s="16" t="e">
        <x:f>IF(输出函数真值表!O28=1,$E27&amp;"+","")</x:f>
      </x:c>
      <x:c r="P27" s="16" t="e">
        <x:f>IF(输出函数真值表!P28=1,$E27&amp;"+","")</x:f>
      </x:c>
      <x:c r="Q27" s="16" t="e">
        <x:f>IF(输出函数真值表!Q28=1,$E27&amp;"+","")</x:f>
      </x:c>
    </x:row>
    <x:row r="28">
      <x:c r="A28" s="4" t="e">
        <x:f>IF(输出函数真值表!A29=1,输出函数真值表!A$2&amp;"&amp;",IF(输出函数真值表!A29=0,"~"&amp;输出函数真值表!A$2&amp;"&amp;",""))</x:f>
      </x:c>
      <x:c r="B28" s="6" t="e">
        <x:f>IF(输出函数真值表!B29=1,输出函数真值表!B$2&amp;"&amp;",IF(输出函数真值表!B29=0,"~"&amp;输出函数真值表!B$2&amp;"&amp;",""))</x:f>
      </x:c>
      <x:c r="C28" s="6" t="e">
        <x:f>IF(输出函数真值表!C29=1,输出函数真值表!C$2&amp;"&amp;",IF(输出函数真值表!C29=0,"~"&amp;输出函数真值表!C$2&amp;"&amp;",""))</x:f>
      </x:c>
      <x:c r="D28" s="7" t="e">
        <x:f>IF(输出函数真值表!D29=1,输出函数真值表!D$2&amp;"&amp;",IF(输出函数真值表!D29=0,"~"&amp;输出函数真值表!D$2&amp;"&amp;",""))</x:f>
      </x:c>
      <x:c r="E28" s="15" t="str">
        <x:f t="shared" si="0"/>
      </x:c>
      <x:c r="F28" s="17" t="e">
        <x:f>IF(输出函数真值表!F29=1,$E28&amp;"+","")</x:f>
      </x:c>
      <x:c r="G28" s="17" t="e">
        <x:f>IF(输出函数真值表!G29=1,$E28&amp;"+","")</x:f>
      </x:c>
      <x:c r="H28" s="17" t="e">
        <x:f>IF(输出函数真值表!H29=1,$E28&amp;"+","")</x:f>
      </x:c>
      <x:c r="I28" s="17" t="e">
        <x:f>IF(输出函数真值表!I29=1,$E28&amp;"+","")</x:f>
      </x:c>
      <x:c r="J28" s="17" t="e">
        <x:f>IF(输出函数真值表!J29=1,$E28&amp;"+","")</x:f>
      </x:c>
      <x:c r="K28" s="16" t="e">
        <x:f>IF(输出函数真值表!K29=1,$E28&amp;"+","")</x:f>
      </x:c>
      <x:c r="L28" s="16" t="e">
        <x:f>IF(输出函数真值表!L29=1,$E28&amp;"+","")</x:f>
      </x:c>
      <x:c r="M28" s="16" t="e">
        <x:f>IF(输出函数真值表!M29=1,$E28&amp;"+","")</x:f>
      </x:c>
      <x:c r="N28" s="16" t="e">
        <x:f>IF(输出函数真值表!N29=1,$E28&amp;"+","")</x:f>
      </x:c>
      <x:c r="O28" s="16" t="e">
        <x:f>IF(输出函数真值表!O29=1,$E28&amp;"+","")</x:f>
      </x:c>
      <x:c r="P28" s="16" t="e">
        <x:f>IF(输出函数真值表!P29=1,$E28&amp;"+","")</x:f>
      </x:c>
      <x:c r="Q28" s="16" t="e">
        <x:f>IF(输出函数真值表!Q29=1,$E28&amp;"+","")</x:f>
      </x:c>
    </x:row>
    <x:row r="29">
      <x:c r="A29" s="4" t="e">
        <x:f>IF(输出函数真值表!A30=1,输出函数真值表!A$2&amp;"&amp;",IF(输出函数真值表!A30=0,"~"&amp;输出函数真值表!A$2&amp;"&amp;",""))</x:f>
      </x:c>
      <x:c r="B29" s="6" t="e">
        <x:f>IF(输出函数真值表!B30=1,输出函数真值表!B$2&amp;"&amp;",IF(输出函数真值表!B30=0,"~"&amp;输出函数真值表!B$2&amp;"&amp;",""))</x:f>
      </x:c>
      <x:c r="C29" s="6" t="e">
        <x:f>IF(输出函数真值表!C30=1,输出函数真值表!C$2&amp;"&amp;",IF(输出函数真值表!C30=0,"~"&amp;输出函数真值表!C$2&amp;"&amp;",""))</x:f>
      </x:c>
      <x:c r="D29" s="7" t="e">
        <x:f>IF(输出函数真值表!D30=1,输出函数真值表!D$2&amp;"&amp;",IF(输出函数真值表!D30=0,"~"&amp;输出函数真值表!D$2&amp;"&amp;",""))</x:f>
      </x:c>
      <x:c r="E29" s="15" t="str">
        <x:f t="shared" si="0"/>
      </x:c>
      <x:c r="F29" s="17" t="e">
        <x:f>IF(输出函数真值表!F30=1,$E29&amp;"+","")</x:f>
      </x:c>
      <x:c r="G29" s="17" t="e">
        <x:f>IF(输出函数真值表!G30=1,$E29&amp;"+","")</x:f>
      </x:c>
      <x:c r="H29" s="17" t="e">
        <x:f>IF(输出函数真值表!H30=1,$E29&amp;"+","")</x:f>
      </x:c>
      <x:c r="I29" s="17" t="e">
        <x:f>IF(输出函数真值表!I30=1,$E29&amp;"+","")</x:f>
      </x:c>
      <x:c r="J29" s="17" t="e">
        <x:f>IF(输出函数真值表!J30=1,$E29&amp;"+","")</x:f>
      </x:c>
      <x:c r="K29" s="16" t="e">
        <x:f>IF(输出函数真值表!K30=1,$E29&amp;"+","")</x:f>
      </x:c>
      <x:c r="L29" s="16" t="e">
        <x:f>IF(输出函数真值表!L30=1,$E29&amp;"+","")</x:f>
      </x:c>
      <x:c r="M29" s="16" t="e">
        <x:f>IF(输出函数真值表!M30=1,$E29&amp;"+","")</x:f>
      </x:c>
      <x:c r="N29" s="16" t="e">
        <x:f>IF(输出函数真值表!N30=1,$E29&amp;"+","")</x:f>
      </x:c>
      <x:c r="O29" s="16" t="e">
        <x:f>IF(输出函数真值表!O30=1,$E29&amp;"+","")</x:f>
      </x:c>
      <x:c r="P29" s="16" t="e">
        <x:f>IF(输出函数真值表!P30=1,$E29&amp;"+","")</x:f>
      </x:c>
      <x:c r="Q29" s="16" t="e">
        <x:f>IF(输出函数真值表!Q30=1,$E29&amp;"+","")</x:f>
      </x:c>
    </x:row>
    <x:row r="30" ht="14.5">
      <x:c r="A30" s="4" t="e">
        <x:f>IF(输出函数真值表!A31=1,输出函数真值表!A$2&amp;"&amp;",IF(输出函数真值表!A31=0,"~"&amp;输出函数真值表!A$2&amp;"&amp;",""))</x:f>
      </x:c>
      <x:c r="B30" s="8" t="e">
        <x:f>IF(输出函数真值表!B31=1,输出函数真值表!B$2&amp;"&amp;",IF(输出函数真值表!B31=0,"~"&amp;输出函数真值表!B$2&amp;"&amp;",""))</x:f>
      </x:c>
      <x:c r="C30" s="8" t="e">
        <x:f>IF(输出函数真值表!C31=1,输出函数真值表!C$2&amp;"&amp;",IF(输出函数真值表!C31=0,"~"&amp;输出函数真值表!C$2&amp;"&amp;",""))</x:f>
      </x:c>
      <x:c r="D30" s="9" t="e">
        <x:f>IF(输出函数真值表!D31=1,输出函数真值表!D$2&amp;"&amp;",IF(输出函数真值表!D31=0,"~"&amp;输出函数真值表!D$2&amp;"&amp;",""))</x:f>
      </x:c>
      <x:c r="E30" s="15" t="str">
        <x:f t="shared" si="0"/>
      </x:c>
      <x:c r="F30" s="18" t="e">
        <x:f>IF(输出函数真值表!F31=1,$E30&amp;"+","")</x:f>
      </x:c>
      <x:c r="G30" s="18" t="e">
        <x:f>IF(输出函数真值表!G31=1,$E30&amp;"+","")</x:f>
      </x:c>
      <x:c r="H30" s="18" t="e">
        <x:f>IF(输出函数真值表!H31=1,$E30&amp;"+","")</x:f>
      </x:c>
      <x:c r="I30" s="18" t="e">
        <x:f>IF(输出函数真值表!I31=1,$E30&amp;"+","")</x:f>
      </x:c>
      <x:c r="J30" s="18" t="e">
        <x:f>IF(输出函数真值表!J31=1,$E30&amp;"+","")</x:f>
      </x:c>
      <x:c r="K30" s="16" t="e">
        <x:f>IF(输出函数真值表!K31=1,$E30&amp;"+","")</x:f>
      </x:c>
      <x:c r="L30" s="16" t="e">
        <x:f>IF(输出函数真值表!L31=1,$E30&amp;"+","")</x:f>
      </x:c>
      <x:c r="M30" s="16" t="e">
        <x:f>IF(输出函数真值表!M31=1,$E30&amp;"+","")</x:f>
      </x:c>
      <x:c r="N30" s="16" t="e">
        <x:f>IF(输出函数真值表!N31=1,$E30&amp;"+","")</x:f>
      </x:c>
      <x:c r="O30" s="16" t="e">
        <x:f>IF(输出函数真值表!O31=1,$E30&amp;"+","")</x:f>
      </x:c>
      <x:c r="P30" s="16" t="e">
        <x:f>IF(输出函数真值表!P31=1,$E30&amp;"+","")</x:f>
      </x:c>
      <x:c r="Q30" s="16" t="e">
        <x:f>IF(输出函数真值表!Q31=1,$E30&amp;"+","")</x:f>
      </x:c>
    </x:row>
    <x:row r="31" ht="17">
      <x:c r="A31" s="87" t="s">
        <x:v>33</x:v>
      </x:c>
      <x:c r="B31" s="88"/>
      <x:c r="C31" s="88"/>
      <x:c r="D31" s="88"/>
      <x:c r="E31" s="94"/>
      <x:c r="F31" s="19" t="e">
        <x:f t="shared" ref="F31:Q31" si="1">IF(LEN(F32)&gt;1,LEFT(F32,LEN(F32)-1),"")</x:f>
      </x:c>
      <x:c r="G31" s="20" t="str">
        <x:f t="shared" si="1"/>
      </x:c>
      <x:c r="H31" s="20" t="str">
        <x:f t="shared" si="1"/>
      </x:c>
      <x:c r="I31" s="20" t="str">
        <x:f t="shared" si="1"/>
      </x:c>
      <x:c r="J31" s="20" t="str">
        <x:f t="shared" si="1"/>
        <x:v>~S3&amp;~S2&amp;~S1&amp;~S0</x:v>
      </x:c>
      <x:c r="K31" s="20" t="str">
        <x:f t="shared" si="1"/>
        <x:v>~S3&amp;~S2&amp;~S1&amp;S0</x:v>
      </x:c>
      <x:c r="L31" s="22" t="str">
        <x:f t="shared" si="1"/>
        <x:v>~S3&amp;~S2&amp;S1&amp;~S0</x:v>
      </x:c>
      <x:c r="M31" s="22" t="str">
        <x:f t="shared" si="1"/>
        <x:v>~S3&amp;~S2&amp;S1&amp;S0</x:v>
      </x:c>
      <x:c r="N31" s="22" t="str">
        <x:f t="shared" si="1"/>
      </x:c>
      <x:c r="O31" s="22" t="str">
        <x:f t="shared" si="1"/>
      </x:c>
      <x:c r="P31" s="22" t="str">
        <x:f t="shared" si="1"/>
      </x:c>
      <x:c r="Q31" s="22" t="str">
        <x:f t="shared" si="1"/>
      </x:c>
    </x:row>
    <x:row r="32" ht="22.5" hidden="1" customHeight="1">
      <x:c r="A32" s="10"/>
      <x:c r="B32" s="10"/>
      <x:c r="C32" s="10"/>
      <x:c r="D32" s="10"/>
      <x:c r="E32" s="11"/>
      <x:c r="F32" s="21" t="e">
        <x:f>CONCATENATE(F2,F3,F4,F5,F6,F7,F8,F9,F10,F11,F12,F13,F14,F15,F16,F17,F18,F19,F20,F21,F22,F23,F24,F25,F26,F27,F28,F29,F30)</x:f>
      </x:c>
      <x:c r="G32" s="21" t="e">
        <x:f t="shared" ref="G32:Q32" si="2">CONCATENATE(G2,G3,G4,G5,G6,G7,G8,G9,G10,G11,G12,G13,G14,G15,G16,G17,G18,G19,G20,G21,G22,G23,G24,G25,G26,G27,G28,G29,G30)</x:f>
      </x:c>
      <x:c r="H32" s="21" t="str">
        <x:f t="shared" si="2"/>
      </x:c>
      <x:c r="I32" s="21" t="str">
        <x:f t="shared" si="2"/>
      </x:c>
      <x:c r="J32" s="21" t="str">
        <x:f t="shared" si="2"/>
        <x:v>~S3&amp;~S2&amp;~S1&amp;~S0+</x:v>
      </x:c>
      <x:c r="K32" s="21" t="str">
        <x:f t="shared" si="2"/>
        <x:v>~S3&amp;~S2&amp;~S1&amp;S0+</x:v>
      </x:c>
      <x:c r="L32" s="21" t="str">
        <x:f t="shared" si="2"/>
        <x:v>~S3&amp;~S2&amp;S1&amp;~S0+</x:v>
      </x:c>
      <x:c r="M32" s="21" t="str">
        <x:f t="shared" si="2"/>
        <x:v>~S3&amp;~S2&amp;S1&amp;S0+</x:v>
      </x:c>
      <x:c r="N32" s="21" t="str">
        <x:f t="shared" si="2"/>
      </x:c>
      <x:c r="O32" s="21" t="str">
        <x:f t="shared" si="2"/>
      </x:c>
      <x:c r="P32" s="21" t="str">
        <x:f t="shared" si="2"/>
      </x:c>
      <x:c r="Q32" s="21" t="str">
        <x:f t="shared" si="2"/>
      </x:c>
    </x:row>
    <x:row r="34" ht="16.5">
      <x:c r="D34" s="12"/>
    </x:row>
    <x:row r="36" ht="16.5">
      <x:c r="G36" s="12" t="s">
        <x:v>34</x:v>
      </x:c>
    </x:row>
    <x:row r="37" ht="16.5">
      <x:c r="E37" s="75"/>
      <x:c r="F37" s="75"/>
    </x:row>
    <x:row r="39" ht="16.5">
      <x:c r="D39" s="90" t="s">
        <x:v>35</x:v>
      </x:c>
      <x:c r="E39" s="90"/>
      <x:c r="F39" s="90"/>
      <x:c r="G39" s="90"/>
      <x:c r="H39" s="90"/>
      <x:c r="I39" s="90"/>
      <x:c r="J39" s="90"/>
      <x:c r="K39" s="90"/>
      <x:c r="L39" s="90"/>
      <x:c r="M39" s="90"/>
    </x:row>
  </x:sheetData>
  <x:mergeCells>
    <x:mergeCell ref="A31:E31"/>
    <x:mergeCell ref="D39:M39"/>
  </x:mergeCells>
  <x:conditionalFormatting sqref="F31:Q31">
    <x:cfRule type="containsBlanks" dxfId="1" priority="1">
      <x:formula>LEN(TRIM(F31))=0</x:formula>
    </x:cfRule>
  </x:conditionalFormatting>
  <x:conditionalFormatting sqref="F2:Q30">
    <x:cfRule type="containsText" dxfId="0" priority="7" operator="containsText" text="1">
      <x:formula>NOT(ISERROR(SEARCH("1",F2)))</x:formula>
    </x:cfRule>
  </x:conditionalFormatting>
  <x:dataValidations count="4">
    <x:dataValidation allowBlank="1" showInputMessage="1" showErrorMessage="1" promptTitle="输出信号产生条件" prompt="输出信号产生条件对应的输入项的最小项" sqref="F1:Q30"/>
    <x:dataValidation allowBlank="1" showInputMessage="1" showErrorMessage="1" promptTitle="次态" prompt="在第一行筛选对应信号为1的条件，最小项列即可包含最终的逻辑表达式" sqref="G37:H38 G40:H1048576 F40:F1048576 F33:F36 F38 I40:I1048576 I38 G33:H35 I33:I35"/>
    <x:dataValidation allowBlank="1" showInputMessage="1" showErrorMessage="1" promptTitle="逻辑表达式" prompt="当前列输出信号对应的逻辑表达式，直接复制到Logisim中即可自动生成电路" sqref="F31:Q31"/>
    <x:dataValidation allowBlank="1" showInputMessage="1" showErrorMessage="1" promptTitle="次态状态位" prompt="次态状态位逻辑表达式生成" sqref="F32:Q32 G36"/>
  </x:dataValidations>
  <x:pageMargins left="0.7" right="0.7" top="0.75" bottom="0.75" header="0.3" footer="0.3"/>
  <x:drawing xmlns:r="http://schemas.openxmlformats.org/officeDocument/2006/relationships" r:id="R44e516dbd2a644ef"/>
</x:worksheet>
</file>